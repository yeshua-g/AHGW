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TESIS_HYDS\Procesamiento_VMM07\Niveles\"/>
    </mc:Choice>
  </mc:AlternateContent>
  <bookViews>
    <workbookView minimized="1" xWindow="0" yWindow="0" windowWidth="12135" windowHeight="3345"/>
  </bookViews>
  <sheets>
    <sheet name="OW Pozo Investigación Manual" sheetId="4" r:id="rId1"/>
  </sheets>
  <definedNames>
    <definedName name="_xlnm._FilterDatabase" localSheetId="0" hidden="1">'OW Pozo Investigación Manual'!$A$1:$I$7148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7" i="4" l="1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65" i="4"/>
  <c r="F66" i="4"/>
  <c r="F63" i="4"/>
  <c r="F64" i="4"/>
  <c r="D101" i="4"/>
  <c r="D102" i="4"/>
  <c r="D103" i="4"/>
  <c r="D10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83" i="4"/>
  <c r="D84" i="4"/>
  <c r="D81" i="4"/>
  <c r="D82" i="4"/>
  <c r="D79" i="4"/>
  <c r="D80" i="4"/>
  <c r="D77" i="4"/>
  <c r="D78" i="4"/>
  <c r="D75" i="4"/>
  <c r="D76" i="4"/>
  <c r="D73" i="4"/>
  <c r="D74" i="4"/>
  <c r="D71" i="4"/>
  <c r="D72" i="4"/>
  <c r="D69" i="4"/>
  <c r="D70" i="4"/>
  <c r="D67" i="4"/>
  <c r="D68" i="4"/>
  <c r="D65" i="4"/>
  <c r="D66" i="4"/>
  <c r="D64" i="4"/>
  <c r="D63" i="4"/>
  <c r="F61" i="4"/>
  <c r="D61" i="4"/>
  <c r="D59" i="4"/>
  <c r="F59" i="4"/>
  <c r="F57" i="4"/>
  <c r="D57" i="4"/>
  <c r="D9" i="4"/>
  <c r="F9" i="4"/>
  <c r="D10" i="4"/>
  <c r="F10" i="4"/>
  <c r="D11" i="4"/>
  <c r="F11" i="4"/>
  <c r="D12" i="4"/>
  <c r="F12" i="4"/>
  <c r="D14" i="4"/>
  <c r="F14" i="4"/>
  <c r="D13" i="4" l="1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8" i="4"/>
  <c r="D60" i="4"/>
  <c r="D62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8" i="4"/>
  <c r="F13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8" i="4"/>
  <c r="F60" i="4"/>
  <c r="F62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8" i="4"/>
</calcChain>
</file>

<file path=xl/sharedStrings.xml><?xml version="1.0" encoding="utf-8"?>
<sst xmlns="http://schemas.openxmlformats.org/spreadsheetml/2006/main" count="15" uniqueCount="15">
  <si>
    <t>tiempo (min)</t>
  </si>
  <si>
    <t>NE (m)</t>
  </si>
  <si>
    <t>Q (l/s)</t>
  </si>
  <si>
    <t>fecha</t>
  </si>
  <si>
    <t>Hora inicio</t>
  </si>
  <si>
    <t>tiempo (s)</t>
  </si>
  <si>
    <t>s residual (m)</t>
  </si>
  <si>
    <t>t recuperación (s)</t>
  </si>
  <si>
    <t>ND(m)</t>
  </si>
  <si>
    <t>s(m)</t>
  </si>
  <si>
    <t>Hora</t>
  </si>
  <si>
    <t>r(m) Observación</t>
  </si>
  <si>
    <t>Manual</t>
  </si>
  <si>
    <t>Prueba de bombeo con Pz de Observación</t>
  </si>
  <si>
    <t>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</si>
</sst>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400]h:mm:ss\ AM/PM"/>
    <numFmt numFmtId="165" formatCode="0.000"/>
    <numFmt numFmtId="166" formatCode="0.0000"/>
  </numFmts>
  <fonts count="3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BBD3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3" borderId="1"/>
    <xf numFmtId="0" fontId="1" fillId="4" borderId="2"/>
  </cellStyleXfs>
  <cellXfs count="22">
    <xf numFmtId="0" fontId="0" fillId="0" borderId="0" xfId="0"/>
    <xf numFmtId="0" fontId="0" fillId="2" borderId="0" xfId="0" applyFill="1"/>
    <xf numFmtId="0" fontId="2" fillId="2" borderId="0" xfId="0" applyFont="1" applyFill="1" applyBorder="1" applyAlignment="1">
      <alignment horizontal="left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14" fontId="2" fillId="2" borderId="0" xfId="0" applyNumberFormat="1" applyFont="1" applyFill="1" applyBorder="1" applyAlignment="1">
      <alignment horizontal="center"/>
    </xf>
    <xf numFmtId="21" fontId="2" fillId="2" borderId="0" xfId="0" applyNumberFormat="1" applyFont="1" applyFill="1" applyBorder="1" applyAlignment="1">
      <alignment horizontal="center"/>
    </xf>
    <xf numFmtId="164" fontId="0" fillId="2" borderId="3" xfId="0" applyNumberFormat="1" applyFill="1" applyBorder="1"/>
    <xf numFmtId="0" fontId="2" fillId="2" borderId="1" xfId="0" applyFont="1" applyFill="1" applyBorder="1" applyAlignment="1">
      <alignment horizontal="center" vertical="center"/>
    </xf>
    <xf numFmtId="0" fontId="1" fillId="2" borderId="1" xfId="2" applyFill="1" applyBorder="1" applyAlignment="1">
      <alignment horizontal="center" vertical="center"/>
    </xf>
    <xf numFmtId="2" fontId="1" fillId="2" borderId="1" xfId="2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0" xfId="0" applyNumberFormat="1" applyFill="1"/>
    <xf numFmtId="2" fontId="0" fillId="2" borderId="1" xfId="0" applyNumberFormat="1" applyFill="1" applyBorder="1" applyAlignment="1">
      <alignment horizontal="center"/>
    </xf>
    <xf numFmtId="166" fontId="0" fillId="2" borderId="0" xfId="0" applyNumberFormat="1" applyFill="1" applyAlignment="1">
      <alignment horizontal="center"/>
    </xf>
    <xf numFmtId="166" fontId="2" fillId="2" borderId="1" xfId="0" applyNumberFormat="1" applyFon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3">
    <cellStyle name="DataRowStyle" xfId="2"/>
    <cellStyle name="HeaderStyle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73-4F1F-AD2A-B8A6F235B47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73-4F1F-AD2A-B8A6F235B47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'OW Pozo Investigación Manual'!$C$8:$C$123</c:f>
              <c:numCache>
                <c:formatCode>General</c:formatCode>
                <c:ptCount val="116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1020</c:v>
                </c:pt>
                <c:pt idx="18">
                  <c:v>1080</c:v>
                </c:pt>
                <c:pt idx="19">
                  <c:v>1140</c:v>
                </c:pt>
                <c:pt idx="20">
                  <c:v>1200</c:v>
                </c:pt>
                <c:pt idx="21">
                  <c:v>1260</c:v>
                </c:pt>
                <c:pt idx="22">
                  <c:v>1320</c:v>
                </c:pt>
                <c:pt idx="23">
                  <c:v>1380</c:v>
                </c:pt>
                <c:pt idx="24">
                  <c:v>1440</c:v>
                </c:pt>
                <c:pt idx="25">
                  <c:v>1500</c:v>
                </c:pt>
                <c:pt idx="26">
                  <c:v>1560</c:v>
                </c:pt>
                <c:pt idx="27">
                  <c:v>1620</c:v>
                </c:pt>
                <c:pt idx="28">
                  <c:v>1680</c:v>
                </c:pt>
                <c:pt idx="29">
                  <c:v>1740</c:v>
                </c:pt>
                <c:pt idx="30">
                  <c:v>1800</c:v>
                </c:pt>
                <c:pt idx="31">
                  <c:v>1860</c:v>
                </c:pt>
                <c:pt idx="32">
                  <c:v>1920</c:v>
                </c:pt>
                <c:pt idx="33">
                  <c:v>1980</c:v>
                </c:pt>
                <c:pt idx="34">
                  <c:v>2040</c:v>
                </c:pt>
                <c:pt idx="35">
                  <c:v>2100</c:v>
                </c:pt>
                <c:pt idx="36">
                  <c:v>2160</c:v>
                </c:pt>
                <c:pt idx="37">
                  <c:v>2220</c:v>
                </c:pt>
                <c:pt idx="38">
                  <c:v>2280</c:v>
                </c:pt>
                <c:pt idx="39">
                  <c:v>2340</c:v>
                </c:pt>
                <c:pt idx="40">
                  <c:v>2400</c:v>
                </c:pt>
                <c:pt idx="41">
                  <c:v>2460</c:v>
                </c:pt>
                <c:pt idx="42">
                  <c:v>2520</c:v>
                </c:pt>
                <c:pt idx="43">
                  <c:v>2580</c:v>
                </c:pt>
                <c:pt idx="44">
                  <c:v>2640</c:v>
                </c:pt>
                <c:pt idx="45">
                  <c:v>2700</c:v>
                </c:pt>
                <c:pt idx="46">
                  <c:v>2760</c:v>
                </c:pt>
                <c:pt idx="47">
                  <c:v>2820</c:v>
                </c:pt>
                <c:pt idx="48">
                  <c:v>2880</c:v>
                </c:pt>
                <c:pt idx="49">
                  <c:v>2940</c:v>
                </c:pt>
                <c:pt idx="50">
                  <c:v>3000</c:v>
                </c:pt>
                <c:pt idx="51">
                  <c:v>3060</c:v>
                </c:pt>
                <c:pt idx="52">
                  <c:v>3120</c:v>
                </c:pt>
                <c:pt idx="53">
                  <c:v>3180</c:v>
                </c:pt>
                <c:pt idx="54">
                  <c:v>3240</c:v>
                </c:pt>
                <c:pt idx="55">
                  <c:v>3300</c:v>
                </c:pt>
                <c:pt idx="56">
                  <c:v>3360</c:v>
                </c:pt>
                <c:pt idx="57">
                  <c:v>3420</c:v>
                </c:pt>
                <c:pt idx="58">
                  <c:v>3480</c:v>
                </c:pt>
                <c:pt idx="59">
                  <c:v>3540</c:v>
                </c:pt>
                <c:pt idx="60">
                  <c:v>3600</c:v>
                </c:pt>
                <c:pt idx="61">
                  <c:v>3660</c:v>
                </c:pt>
                <c:pt idx="62">
                  <c:v>3720</c:v>
                </c:pt>
                <c:pt idx="63">
                  <c:v>3780</c:v>
                </c:pt>
                <c:pt idx="64">
                  <c:v>3840</c:v>
                </c:pt>
                <c:pt idx="65">
                  <c:v>3900</c:v>
                </c:pt>
                <c:pt idx="66">
                  <c:v>3960</c:v>
                </c:pt>
                <c:pt idx="67">
                  <c:v>4020</c:v>
                </c:pt>
                <c:pt idx="68">
                  <c:v>4080</c:v>
                </c:pt>
                <c:pt idx="69">
                  <c:v>4140</c:v>
                </c:pt>
                <c:pt idx="70">
                  <c:v>4200</c:v>
                </c:pt>
                <c:pt idx="71">
                  <c:v>4260</c:v>
                </c:pt>
                <c:pt idx="72">
                  <c:v>4320</c:v>
                </c:pt>
                <c:pt idx="73">
                  <c:v>4380</c:v>
                </c:pt>
                <c:pt idx="74">
                  <c:v>4440</c:v>
                </c:pt>
                <c:pt idx="75">
                  <c:v>4500</c:v>
                </c:pt>
                <c:pt idx="76">
                  <c:v>4560</c:v>
                </c:pt>
                <c:pt idx="77">
                  <c:v>4620</c:v>
                </c:pt>
                <c:pt idx="78">
                  <c:v>4680</c:v>
                </c:pt>
                <c:pt idx="79">
                  <c:v>4740</c:v>
                </c:pt>
                <c:pt idx="80">
                  <c:v>4800</c:v>
                </c:pt>
                <c:pt idx="81">
                  <c:v>4860</c:v>
                </c:pt>
                <c:pt idx="82">
                  <c:v>4920</c:v>
                </c:pt>
                <c:pt idx="83">
                  <c:v>4980</c:v>
                </c:pt>
                <c:pt idx="84">
                  <c:v>5040</c:v>
                </c:pt>
                <c:pt idx="85">
                  <c:v>5100</c:v>
                </c:pt>
                <c:pt idx="86">
                  <c:v>5160</c:v>
                </c:pt>
                <c:pt idx="87">
                  <c:v>5220</c:v>
                </c:pt>
                <c:pt idx="88">
                  <c:v>5280</c:v>
                </c:pt>
                <c:pt idx="89">
                  <c:v>5340</c:v>
                </c:pt>
                <c:pt idx="90">
                  <c:v>5400</c:v>
                </c:pt>
                <c:pt idx="91">
                  <c:v>5460</c:v>
                </c:pt>
                <c:pt idx="92">
                  <c:v>5520</c:v>
                </c:pt>
                <c:pt idx="93">
                  <c:v>5580</c:v>
                </c:pt>
                <c:pt idx="94">
                  <c:v>5640</c:v>
                </c:pt>
                <c:pt idx="95">
                  <c:v>5700</c:v>
                </c:pt>
                <c:pt idx="96">
                  <c:v>5760</c:v>
                </c:pt>
                <c:pt idx="97">
                  <c:v>5820</c:v>
                </c:pt>
                <c:pt idx="98">
                  <c:v>5880</c:v>
                </c:pt>
                <c:pt idx="99">
                  <c:v>5940</c:v>
                </c:pt>
                <c:pt idx="100">
                  <c:v>6000</c:v>
                </c:pt>
                <c:pt idx="101">
                  <c:v>6060</c:v>
                </c:pt>
                <c:pt idx="102">
                  <c:v>6120</c:v>
                </c:pt>
                <c:pt idx="103">
                  <c:v>6180</c:v>
                </c:pt>
                <c:pt idx="104">
                  <c:v>6240</c:v>
                </c:pt>
                <c:pt idx="105">
                  <c:v>6300</c:v>
                </c:pt>
                <c:pt idx="106">
                  <c:v>6360</c:v>
                </c:pt>
                <c:pt idx="107">
                  <c:v>6420</c:v>
                </c:pt>
                <c:pt idx="108">
                  <c:v>6480</c:v>
                </c:pt>
                <c:pt idx="109">
                  <c:v>6540</c:v>
                </c:pt>
                <c:pt idx="110">
                  <c:v>6600</c:v>
                </c:pt>
                <c:pt idx="111">
                  <c:v>6660</c:v>
                </c:pt>
                <c:pt idx="112">
                  <c:v>6720</c:v>
                </c:pt>
                <c:pt idx="113">
                  <c:v>6780</c:v>
                </c:pt>
                <c:pt idx="114">
                  <c:v>6840</c:v>
                </c:pt>
                <c:pt idx="115">
                  <c:v>6900</c:v>
                </c:pt>
              </c:numCache>
            </c:numRef>
          </c:xVal>
          <c:yVal>
            <c:numRef>
              <c:f>'OW Pozo Investigación Manual'!$F$8:$F$123</c:f>
              <c:numCache>
                <c:formatCode>0.000</c:formatCode>
                <c:ptCount val="116"/>
                <c:pt idx="0">
                  <c:v>0</c:v>
                </c:pt>
                <c:pt idx="1">
                  <c:v>0.66300000000000114</c:v>
                </c:pt>
                <c:pt idx="2">
                  <c:v>0.80999999999999961</c:v>
                </c:pt>
                <c:pt idx="3">
                  <c:v>0.94099999999999984</c:v>
                </c:pt>
                <c:pt idx="4">
                  <c:v>1.0049999999999999</c:v>
                </c:pt>
                <c:pt idx="5">
                  <c:v>1.0700000000000012</c:v>
                </c:pt>
                <c:pt idx="6">
                  <c:v>1.1200000000000001</c:v>
                </c:pt>
                <c:pt idx="7">
                  <c:v>1.1700000000000008</c:v>
                </c:pt>
                <c:pt idx="8">
                  <c:v>1.21</c:v>
                </c:pt>
                <c:pt idx="9">
                  <c:v>1.2400000000000011</c:v>
                </c:pt>
                <c:pt idx="10">
                  <c:v>1.2700000000000005</c:v>
                </c:pt>
                <c:pt idx="11">
                  <c:v>1.2999999999999998</c:v>
                </c:pt>
                <c:pt idx="12">
                  <c:v>1.3099999999999996</c:v>
                </c:pt>
                <c:pt idx="13">
                  <c:v>1.3200000000000012</c:v>
                </c:pt>
                <c:pt idx="14">
                  <c:v>1.3400000000000007</c:v>
                </c:pt>
                <c:pt idx="15">
                  <c:v>1.3500000000000005</c:v>
                </c:pt>
                <c:pt idx="16">
                  <c:v>1.37</c:v>
                </c:pt>
                <c:pt idx="17">
                  <c:v>1.3899999999999997</c:v>
                </c:pt>
                <c:pt idx="18">
                  <c:v>1.410000000000001</c:v>
                </c:pt>
                <c:pt idx="19">
                  <c:v>1.4200000000000008</c:v>
                </c:pt>
                <c:pt idx="20">
                  <c:v>1.4400000000000004</c:v>
                </c:pt>
                <c:pt idx="21">
                  <c:v>1.46</c:v>
                </c:pt>
                <c:pt idx="22">
                  <c:v>1.4650000000000007</c:v>
                </c:pt>
                <c:pt idx="23">
                  <c:v>1.4699999999999998</c:v>
                </c:pt>
                <c:pt idx="24">
                  <c:v>1.4750000000000005</c:v>
                </c:pt>
                <c:pt idx="25">
                  <c:v>1.4799999999999995</c:v>
                </c:pt>
                <c:pt idx="26">
                  <c:v>1.4900000000000011</c:v>
                </c:pt>
                <c:pt idx="27">
                  <c:v>1.4950000000000001</c:v>
                </c:pt>
                <c:pt idx="28">
                  <c:v>1.5000000000000009</c:v>
                </c:pt>
                <c:pt idx="29">
                  <c:v>1.5200000000000005</c:v>
                </c:pt>
                <c:pt idx="30">
                  <c:v>1.5300000000000002</c:v>
                </c:pt>
                <c:pt idx="31">
                  <c:v>1.5499999999999998</c:v>
                </c:pt>
                <c:pt idx="32">
                  <c:v>1.5599999999999996</c:v>
                </c:pt>
                <c:pt idx="33">
                  <c:v>1.5700000000000012</c:v>
                </c:pt>
                <c:pt idx="34">
                  <c:v>1.580000000000001</c:v>
                </c:pt>
                <c:pt idx="35">
                  <c:v>1.5830000000000011</c:v>
                </c:pt>
                <c:pt idx="36">
                  <c:v>1.5870000000000006</c:v>
                </c:pt>
                <c:pt idx="37">
                  <c:v>1.5910000000000002</c:v>
                </c:pt>
                <c:pt idx="38">
                  <c:v>1.5930000000000009</c:v>
                </c:pt>
                <c:pt idx="39">
                  <c:v>1.5970000000000004</c:v>
                </c:pt>
                <c:pt idx="40">
                  <c:v>1.6000000000000005</c:v>
                </c:pt>
                <c:pt idx="41">
                  <c:v>1.6070000000000002</c:v>
                </c:pt>
                <c:pt idx="42">
                  <c:v>1.6100000000000003</c:v>
                </c:pt>
                <c:pt idx="43">
                  <c:v>1.6130000000000004</c:v>
                </c:pt>
                <c:pt idx="44">
                  <c:v>1.62</c:v>
                </c:pt>
                <c:pt idx="45">
                  <c:v>1.6250000000000009</c:v>
                </c:pt>
                <c:pt idx="46">
                  <c:v>1.633</c:v>
                </c:pt>
                <c:pt idx="47">
                  <c:v>1.6339999999999995</c:v>
                </c:pt>
                <c:pt idx="48">
                  <c:v>1.6350000000000007</c:v>
                </c:pt>
                <c:pt idx="49">
                  <c:v>1.6360000000000001</c:v>
                </c:pt>
                <c:pt idx="50">
                  <c:v>1.6369999999999996</c:v>
                </c:pt>
                <c:pt idx="51">
                  <c:v>1.6380000000000008</c:v>
                </c:pt>
                <c:pt idx="52">
                  <c:v>1.6399999999999997</c:v>
                </c:pt>
                <c:pt idx="53">
                  <c:v>1.6410000000000009</c:v>
                </c:pt>
                <c:pt idx="54">
                  <c:v>1.6499999999999995</c:v>
                </c:pt>
                <c:pt idx="55">
                  <c:v>1.6540000000000008</c:v>
                </c:pt>
                <c:pt idx="56">
                  <c:v>1.660000000000001</c:v>
                </c:pt>
                <c:pt idx="57">
                  <c:v>1.665</c:v>
                </c:pt>
                <c:pt idx="58">
                  <c:v>1.6700000000000008</c:v>
                </c:pt>
                <c:pt idx="59">
                  <c:v>1.6740000000000004</c:v>
                </c:pt>
                <c:pt idx="60">
                  <c:v>1.6730000000000009</c:v>
                </c:pt>
                <c:pt idx="61">
                  <c:v>1.6740000000000004</c:v>
                </c:pt>
                <c:pt idx="62">
                  <c:v>1.6749999999999998</c:v>
                </c:pt>
                <c:pt idx="63">
                  <c:v>1.676000000000001</c:v>
                </c:pt>
                <c:pt idx="64">
                  <c:v>1.6770000000000005</c:v>
                </c:pt>
                <c:pt idx="65">
                  <c:v>1.6779999999999999</c:v>
                </c:pt>
                <c:pt idx="66">
                  <c:v>1.6800000000000006</c:v>
                </c:pt>
                <c:pt idx="67">
                  <c:v>1.6819999999999995</c:v>
                </c:pt>
                <c:pt idx="68">
                  <c:v>1.6900000000000004</c:v>
                </c:pt>
                <c:pt idx="69">
                  <c:v>1.6920000000000011</c:v>
                </c:pt>
                <c:pt idx="70">
                  <c:v>1.6930000000000005</c:v>
                </c:pt>
                <c:pt idx="71">
                  <c:v>1.694</c:v>
                </c:pt>
                <c:pt idx="72">
                  <c:v>1.6960000000000006</c:v>
                </c:pt>
                <c:pt idx="73">
                  <c:v>1.6960000000000006</c:v>
                </c:pt>
                <c:pt idx="74">
                  <c:v>1.6970000000000001</c:v>
                </c:pt>
                <c:pt idx="75">
                  <c:v>1.6990000000000007</c:v>
                </c:pt>
                <c:pt idx="76">
                  <c:v>1.7020000000000008</c:v>
                </c:pt>
                <c:pt idx="77">
                  <c:v>1.7039999999999997</c:v>
                </c:pt>
                <c:pt idx="78">
                  <c:v>1.7060000000000004</c:v>
                </c:pt>
                <c:pt idx="79">
                  <c:v>1.7080000000000011</c:v>
                </c:pt>
                <c:pt idx="80">
                  <c:v>1.71</c:v>
                </c:pt>
                <c:pt idx="81">
                  <c:v>1.7150000000000007</c:v>
                </c:pt>
                <c:pt idx="82">
                  <c:v>1.7199999999999998</c:v>
                </c:pt>
                <c:pt idx="83">
                  <c:v>1.7199999999999998</c:v>
                </c:pt>
                <c:pt idx="84">
                  <c:v>1.7199999999999998</c:v>
                </c:pt>
                <c:pt idx="85">
                  <c:v>1.7205000000000004</c:v>
                </c:pt>
                <c:pt idx="86">
                  <c:v>1.721000000000001</c:v>
                </c:pt>
                <c:pt idx="87">
                  <c:v>1.7214999999999998</c:v>
                </c:pt>
                <c:pt idx="88">
                  <c:v>1.7220000000000004</c:v>
                </c:pt>
                <c:pt idx="89">
                  <c:v>1.722500000000001</c:v>
                </c:pt>
                <c:pt idx="90">
                  <c:v>1.7229999999999999</c:v>
                </c:pt>
                <c:pt idx="91">
                  <c:v>1.7237999999999998</c:v>
                </c:pt>
                <c:pt idx="92">
                  <c:v>1.7250000000000005</c:v>
                </c:pt>
                <c:pt idx="93">
                  <c:v>1.7280000000000006</c:v>
                </c:pt>
                <c:pt idx="94">
                  <c:v>1.7299999999999995</c:v>
                </c:pt>
                <c:pt idx="95">
                  <c:v>1.7329999999999997</c:v>
                </c:pt>
                <c:pt idx="96">
                  <c:v>1.7350000000000003</c:v>
                </c:pt>
                <c:pt idx="97">
                  <c:v>1.1070000000000002</c:v>
                </c:pt>
                <c:pt idx="98">
                  <c:v>0.94000000000000039</c:v>
                </c:pt>
                <c:pt idx="99">
                  <c:v>0.84000000000000075</c:v>
                </c:pt>
                <c:pt idx="100">
                  <c:v>0.76499999999999968</c:v>
                </c:pt>
                <c:pt idx="101">
                  <c:v>0.71</c:v>
                </c:pt>
                <c:pt idx="102">
                  <c:v>0.66000000000000103</c:v>
                </c:pt>
                <c:pt idx="103">
                  <c:v>0.61000000000000032</c:v>
                </c:pt>
                <c:pt idx="104">
                  <c:v>0.60000000000000053</c:v>
                </c:pt>
                <c:pt idx="105">
                  <c:v>0.58000000000000096</c:v>
                </c:pt>
                <c:pt idx="106">
                  <c:v>0.54999999999999982</c:v>
                </c:pt>
                <c:pt idx="107">
                  <c:v>0.53000000000000025</c:v>
                </c:pt>
                <c:pt idx="108">
                  <c:v>0.51000000000000068</c:v>
                </c:pt>
                <c:pt idx="109">
                  <c:v>0.50000000000000089</c:v>
                </c:pt>
                <c:pt idx="110">
                  <c:v>0.47999999999999954</c:v>
                </c:pt>
                <c:pt idx="111">
                  <c:v>0.45999999999999996</c:v>
                </c:pt>
                <c:pt idx="112">
                  <c:v>0.4300000000000006</c:v>
                </c:pt>
                <c:pt idx="113">
                  <c:v>0.41000000000000103</c:v>
                </c:pt>
                <c:pt idx="114">
                  <c:v>0.39999999999999947</c:v>
                </c:pt>
                <c:pt idx="115">
                  <c:v>0.38500000000000068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73-4F1F-AD2A-B8A6F235B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6106687"/>
        <c:axId val="1545265135"/>
      </c:scatterChart>
      <c:valAx>
        <c:axId val="1106106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265135"/>
        <c:crosses val="autoZero"/>
        <c:crossBetween val="midCat"/>
      </c:valAx>
      <c:valAx>
        <c:axId val="154526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106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4</xdr:row>
      <xdr:rowOff>190499</xdr:rowOff>
    </xdr:from>
    <xdr:to>
      <xdr:col>14</xdr:col>
      <xdr:colOff>28575</xdr:colOff>
      <xdr:row>18</xdr:row>
      <xdr:rowOff>28574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7BD469-4DD6-42D6-ABCC-4B903A0BE2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3"/>
  <sheetViews>
    <sheetView tabSelected="1" topLeftCell="A116" workbookViewId="0">
      <selection activeCell="E3353" sqref="E3353"/>
    </sheetView>
  </sheetViews>
  <sheetFormatPr baseColWidth="10" defaultColWidth="10.85546875" defaultRowHeight="15" x14ac:dyDescent="0.25"/>
  <cols>
    <col min="1" max="1" width="12.5703125" style="14" customWidth="1"/>
    <col min="2" max="2" width="13" style="1" bestFit="1" customWidth="1"/>
    <col min="3" max="3" width="11.85546875" style="1" customWidth="1"/>
    <col min="4" max="4" width="11.7109375" style="1" customWidth="1"/>
    <col min="5" max="5" width="11.7109375" style="16" customWidth="1"/>
    <col min="6" max="6" width="11.7109375" style="3" customWidth="1"/>
    <col min="7" max="7" width="15.42578125" style="1" customWidth="1"/>
    <col min="8" max="8" width="12.140625" style="1" customWidth="1"/>
    <col min="9" max="16384" width="10.85546875" style="1"/>
  </cols>
  <sheetData>
    <row r="1" spans="1:8" x14ac:dyDescent="0.25">
      <c r="B1" s="21" t="s">
        <v>13</v>
      </c>
      <c r="C1" s="21"/>
      <c r="D1" s="21"/>
      <c r="E1" s="21"/>
      <c r="F1" s="21"/>
      <c r="G1" s="21"/>
      <c r="H1" s="21"/>
    </row>
    <row r="2" spans="1:8" x14ac:dyDescent="0.25">
      <c r="C2" s="2" t="s">
        <v>1</v>
      </c>
      <c r="F2" s="5">
        <v>7.89</v>
      </c>
      <c r="G2" s="5" t="s">
        <v>11</v>
      </c>
      <c r="H2" s="5">
        <v>67.099999999999994</v>
      </c>
    </row>
    <row r="3" spans="1:8" x14ac:dyDescent="0.25">
      <c r="C3" s="2" t="s">
        <v>2</v>
      </c>
      <c r="F3" s="5">
        <v>22.23</v>
      </c>
      <c r="G3" s="2"/>
      <c r="H3" s="2"/>
    </row>
    <row r="4" spans="1:8" x14ac:dyDescent="0.25">
      <c r="C4" s="2" t="s">
        <v>3</v>
      </c>
      <c r="F4" s="6">
        <v>45726</v>
      </c>
      <c r="G4" s="2"/>
      <c r="H4" s="2"/>
    </row>
    <row r="5" spans="1:8" x14ac:dyDescent="0.25">
      <c r="C5" s="2" t="s">
        <v>4</v>
      </c>
      <c r="F5" s="7">
        <v>6.25E-2</v>
      </c>
      <c r="G5" s="2"/>
      <c r="H5" s="2"/>
    </row>
    <row r="6" spans="1:8" x14ac:dyDescent="0.25">
      <c r="A6" s="20" t="s">
        <v>12</v>
      </c>
      <c r="B6" s="20"/>
      <c r="C6" s="20"/>
      <c r="D6" s="20"/>
      <c r="E6" s="20"/>
      <c r="F6" s="20"/>
      <c r="G6" s="20"/>
      <c r="H6" s="20"/>
    </row>
    <row r="7" spans="1:8" x14ac:dyDescent="0.25">
      <c r="A7" s="15" t="s">
        <v>14</v>
      </c>
      <c r="B7" s="4" t="s">
        <v>10</v>
      </c>
      <c r="C7" s="9" t="s">
        <v>0</v>
      </c>
      <c r="D7" s="9" t="s">
        <v>5</v>
      </c>
      <c r="E7" s="17" t="s">
        <v>8</v>
      </c>
      <c r="F7" s="9" t="s">
        <v>9</v>
      </c>
      <c r="G7" s="9" t="s">
        <v>7</v>
      </c>
      <c r="H7" s="9" t="s">
        <v>6</v>
      </c>
    </row>
    <row r="8" spans="1:8" x14ac:dyDescent="0.25">
      <c r="A8" s="19">
        <v>45726</v>
      </c>
      <c r="B8" s="8">
        <v>0.5625</v>
      </c>
      <c r="C8" s="12">
        <v>0</v>
      </c>
      <c r="D8" s="12">
        <f>+C8*60</f>
        <v>0</v>
      </c>
      <c r="E8" s="18">
        <v>7.89</v>
      </c>
      <c r="F8" s="13">
        <f>+E8-$F$2</f>
        <v>0</v>
      </c>
      <c r="G8" s="10"/>
      <c r="H8" s="10"/>
    </row>
    <row r="9" spans="1:8" x14ac:dyDescent="0.25">
      <c r="A9" s="19">
        <v>45726</v>
      </c>
      <c r="B9" s="8">
        <v>0.60416666666665297</v>
      </c>
      <c r="C9" s="12">
        <v>60</v>
      </c>
      <c r="D9" s="12">
        <f t="shared" ref="D9:D38" si="0">+C9*60</f>
        <v>3600</v>
      </c>
      <c r="E9" s="18">
        <v>8.5530000000000008</v>
      </c>
      <c r="F9" s="13">
        <f t="shared" ref="F9:F38" si="1">+E9-$F$2</f>
        <v>0.66300000000000114</v>
      </c>
      <c r="G9" s="10"/>
      <c r="H9" s="10"/>
    </row>
    <row r="10" spans="1:8" x14ac:dyDescent="0.25">
      <c r="A10" s="19">
        <v>45726</v>
      </c>
      <c r="B10" s="8">
        <v>0.64583333333340198</v>
      </c>
      <c r="C10" s="12">
        <v>120</v>
      </c>
      <c r="D10" s="12">
        <f t="shared" si="0"/>
        <v>7200</v>
      </c>
      <c r="E10" s="18">
        <v>8.6999999999999993</v>
      </c>
      <c r="F10" s="13">
        <f t="shared" si="1"/>
        <v>0.80999999999999961</v>
      </c>
      <c r="G10" s="10"/>
      <c r="H10" s="10"/>
    </row>
    <row r="11" spans="1:8" x14ac:dyDescent="0.25">
      <c r="A11" s="19">
        <v>45726</v>
      </c>
      <c r="B11" s="8">
        <v>0.687499999999863</v>
      </c>
      <c r="C11" s="12">
        <v>180</v>
      </c>
      <c r="D11" s="12">
        <f t="shared" si="0"/>
        <v>10800</v>
      </c>
      <c r="E11" s="18">
        <v>8.8309999999999995</v>
      </c>
      <c r="F11" s="13">
        <f t="shared" si="1"/>
        <v>0.94099999999999984</v>
      </c>
      <c r="G11" s="10"/>
      <c r="H11" s="10"/>
    </row>
    <row r="12" spans="1:8" x14ac:dyDescent="0.25">
      <c r="A12" s="19">
        <v>45726</v>
      </c>
      <c r="B12" s="8">
        <v>0.72916666666632302</v>
      </c>
      <c r="C12" s="12">
        <v>240</v>
      </c>
      <c r="D12" s="12">
        <f t="shared" si="0"/>
        <v>14400</v>
      </c>
      <c r="E12" s="18">
        <v>8.8949999999999996</v>
      </c>
      <c r="F12" s="13">
        <f t="shared" si="1"/>
        <v>1.0049999999999999</v>
      </c>
      <c r="G12" s="10"/>
      <c r="H12" s="10"/>
    </row>
    <row r="13" spans="1:8" x14ac:dyDescent="0.25">
      <c r="A13" s="19">
        <v>45726</v>
      </c>
      <c r="B13" s="8">
        <v>0.77083333333367698</v>
      </c>
      <c r="C13" s="12">
        <v>300</v>
      </c>
      <c r="D13" s="12">
        <f t="shared" si="0"/>
        <v>18000</v>
      </c>
      <c r="E13" s="18">
        <v>8.9600000000000009</v>
      </c>
      <c r="F13" s="13">
        <f t="shared" si="1"/>
        <v>1.0700000000000012</v>
      </c>
      <c r="G13" s="10"/>
      <c r="H13" s="10"/>
    </row>
    <row r="14" spans="1:8" x14ac:dyDescent="0.25">
      <c r="A14" s="19">
        <v>45726</v>
      </c>
      <c r="B14" s="8">
        <v>0.81250000000103095</v>
      </c>
      <c r="C14" s="12">
        <v>360</v>
      </c>
      <c r="D14" s="12">
        <f t="shared" si="0"/>
        <v>21600</v>
      </c>
      <c r="E14" s="18">
        <v>9.01</v>
      </c>
      <c r="F14" s="13">
        <f t="shared" si="1"/>
        <v>1.1200000000000001</v>
      </c>
      <c r="G14" s="10"/>
      <c r="H14" s="10"/>
    </row>
    <row r="15" spans="1:8" x14ac:dyDescent="0.25">
      <c r="A15" s="19">
        <v>45726</v>
      </c>
      <c r="B15" s="8">
        <v>0.85416666666838503</v>
      </c>
      <c r="C15" s="12">
        <v>420</v>
      </c>
      <c r="D15" s="12">
        <f t="shared" si="0"/>
        <v>25200</v>
      </c>
      <c r="E15" s="18">
        <v>9.06</v>
      </c>
      <c r="F15" s="13">
        <f t="shared" si="1"/>
        <v>1.1700000000000008</v>
      </c>
      <c r="G15" s="10"/>
      <c r="H15" s="10"/>
    </row>
    <row r="16" spans="1:8" x14ac:dyDescent="0.25">
      <c r="A16" s="19">
        <v>45726</v>
      </c>
      <c r="B16" s="8">
        <v>0.895833333335052</v>
      </c>
      <c r="C16" s="12">
        <v>480</v>
      </c>
      <c r="D16" s="12">
        <f t="shared" si="0"/>
        <v>28800</v>
      </c>
      <c r="E16" s="18">
        <v>9.1</v>
      </c>
      <c r="F16" s="13">
        <f t="shared" si="1"/>
        <v>1.21</v>
      </c>
      <c r="G16" s="10"/>
      <c r="H16" s="10"/>
    </row>
    <row r="17" spans="1:8" x14ac:dyDescent="0.25">
      <c r="A17" s="19">
        <v>45726</v>
      </c>
      <c r="B17" s="8">
        <v>0.93750000000171896</v>
      </c>
      <c r="C17" s="12">
        <v>540</v>
      </c>
      <c r="D17" s="12">
        <f t="shared" si="0"/>
        <v>32400</v>
      </c>
      <c r="E17" s="18">
        <v>9.1300000000000008</v>
      </c>
      <c r="F17" s="13">
        <f t="shared" si="1"/>
        <v>1.2400000000000011</v>
      </c>
      <c r="G17" s="10"/>
      <c r="H17" s="10"/>
    </row>
    <row r="18" spans="1:8" x14ac:dyDescent="0.25">
      <c r="A18" s="19">
        <v>45726</v>
      </c>
      <c r="B18" s="8">
        <v>0.97916666666838603</v>
      </c>
      <c r="C18" s="12">
        <v>600</v>
      </c>
      <c r="D18" s="12">
        <f t="shared" si="0"/>
        <v>36000</v>
      </c>
      <c r="E18" s="18">
        <v>9.16</v>
      </c>
      <c r="F18" s="13">
        <f t="shared" si="1"/>
        <v>1.2700000000000005</v>
      </c>
      <c r="G18" s="10"/>
      <c r="H18" s="10"/>
    </row>
    <row r="19" spans="1:8" x14ac:dyDescent="0.25">
      <c r="A19" s="19">
        <v>45727</v>
      </c>
      <c r="B19" s="8">
        <v>2.0833333333333332E-2</v>
      </c>
      <c r="C19" s="12">
        <v>660</v>
      </c>
      <c r="D19" s="12">
        <f t="shared" si="0"/>
        <v>39600</v>
      </c>
      <c r="E19" s="18">
        <v>9.19</v>
      </c>
      <c r="F19" s="13">
        <f t="shared" si="1"/>
        <v>1.2999999999999998</v>
      </c>
      <c r="G19" s="10"/>
      <c r="H19" s="10"/>
    </row>
    <row r="20" spans="1:8" x14ac:dyDescent="0.25">
      <c r="A20" s="19">
        <v>45727</v>
      </c>
      <c r="B20" s="8">
        <v>6.25E-2</v>
      </c>
      <c r="C20" s="12">
        <v>720</v>
      </c>
      <c r="D20" s="12">
        <f t="shared" si="0"/>
        <v>43200</v>
      </c>
      <c r="E20" s="18">
        <v>9.1999999999999993</v>
      </c>
      <c r="F20" s="13">
        <f t="shared" si="1"/>
        <v>1.3099999999999996</v>
      </c>
      <c r="G20" s="10"/>
      <c r="H20" s="10"/>
    </row>
    <row r="21" spans="1:8" x14ac:dyDescent="0.25">
      <c r="A21" s="19">
        <v>45727</v>
      </c>
      <c r="B21" s="8">
        <v>0.10416666666666667</v>
      </c>
      <c r="C21" s="12">
        <v>780</v>
      </c>
      <c r="D21" s="12">
        <f t="shared" si="0"/>
        <v>46800</v>
      </c>
      <c r="E21" s="18">
        <v>9.2100000000000009</v>
      </c>
      <c r="F21" s="13">
        <f t="shared" si="1"/>
        <v>1.3200000000000012</v>
      </c>
      <c r="G21" s="10"/>
      <c r="H21" s="10"/>
    </row>
    <row r="22" spans="1:8" x14ac:dyDescent="0.25">
      <c r="A22" s="19">
        <v>45727</v>
      </c>
      <c r="B22" s="8">
        <v>0.14583333333333334</v>
      </c>
      <c r="C22" s="12">
        <v>840</v>
      </c>
      <c r="D22" s="12">
        <f t="shared" si="0"/>
        <v>50400</v>
      </c>
      <c r="E22" s="18">
        <v>9.23</v>
      </c>
      <c r="F22" s="13">
        <f t="shared" si="1"/>
        <v>1.3400000000000007</v>
      </c>
      <c r="G22" s="10"/>
      <c r="H22" s="10"/>
    </row>
    <row r="23" spans="1:8" x14ac:dyDescent="0.25">
      <c r="A23" s="19">
        <v>45727</v>
      </c>
      <c r="B23" s="8">
        <v>0.1875</v>
      </c>
      <c r="C23" s="12">
        <v>900</v>
      </c>
      <c r="D23" s="12">
        <f t="shared" si="0"/>
        <v>54000</v>
      </c>
      <c r="E23" s="18">
        <v>9.24</v>
      </c>
      <c r="F23" s="13">
        <f t="shared" si="1"/>
        <v>1.3500000000000005</v>
      </c>
      <c r="G23" s="10"/>
      <c r="H23" s="10"/>
    </row>
    <row r="24" spans="1:8" x14ac:dyDescent="0.25">
      <c r="A24" s="19">
        <v>45727</v>
      </c>
      <c r="B24" s="8">
        <v>0.22916666666666666</v>
      </c>
      <c r="C24" s="12">
        <v>960</v>
      </c>
      <c r="D24" s="12">
        <f t="shared" si="0"/>
        <v>57600</v>
      </c>
      <c r="E24" s="18">
        <v>9.26</v>
      </c>
      <c r="F24" s="13">
        <f t="shared" si="1"/>
        <v>1.37</v>
      </c>
      <c r="G24" s="10"/>
      <c r="H24" s="10"/>
    </row>
    <row r="25" spans="1:8" x14ac:dyDescent="0.25">
      <c r="A25" s="19">
        <v>45727</v>
      </c>
      <c r="B25" s="8">
        <v>0.27083333333333331</v>
      </c>
      <c r="C25" s="12">
        <v>1020</v>
      </c>
      <c r="D25" s="12">
        <f t="shared" si="0"/>
        <v>61200</v>
      </c>
      <c r="E25" s="18">
        <v>9.2799999999999994</v>
      </c>
      <c r="F25" s="13">
        <f t="shared" si="1"/>
        <v>1.3899999999999997</v>
      </c>
      <c r="G25" s="10"/>
      <c r="H25" s="10"/>
    </row>
    <row r="26" spans="1:8" x14ac:dyDescent="0.25">
      <c r="A26" s="19">
        <v>45727</v>
      </c>
      <c r="B26" s="8">
        <v>0.3125</v>
      </c>
      <c r="C26" s="12">
        <v>1080</v>
      </c>
      <c r="D26" s="12">
        <f t="shared" si="0"/>
        <v>64800</v>
      </c>
      <c r="E26" s="18">
        <v>9.3000000000000007</v>
      </c>
      <c r="F26" s="13">
        <f t="shared" si="1"/>
        <v>1.410000000000001</v>
      </c>
      <c r="G26" s="10"/>
      <c r="H26" s="10"/>
    </row>
    <row r="27" spans="1:8" x14ac:dyDescent="0.25">
      <c r="A27" s="19">
        <v>45727</v>
      </c>
      <c r="B27" s="8">
        <v>0.35416666666666669</v>
      </c>
      <c r="C27" s="12">
        <v>1140</v>
      </c>
      <c r="D27" s="12">
        <f t="shared" si="0"/>
        <v>68400</v>
      </c>
      <c r="E27" s="18">
        <v>9.31</v>
      </c>
      <c r="F27" s="13">
        <f t="shared" si="1"/>
        <v>1.4200000000000008</v>
      </c>
      <c r="G27" s="10"/>
      <c r="H27" s="10"/>
    </row>
    <row r="28" spans="1:8" x14ac:dyDescent="0.25">
      <c r="A28" s="19">
        <v>45727</v>
      </c>
      <c r="B28" s="8">
        <v>0.39583333333333331</v>
      </c>
      <c r="C28" s="12">
        <v>1200</v>
      </c>
      <c r="D28" s="12">
        <f t="shared" si="0"/>
        <v>72000</v>
      </c>
      <c r="E28" s="18">
        <v>9.33</v>
      </c>
      <c r="F28" s="13">
        <f t="shared" si="1"/>
        <v>1.4400000000000004</v>
      </c>
      <c r="G28" s="10"/>
      <c r="H28" s="10"/>
    </row>
    <row r="29" spans="1:8" x14ac:dyDescent="0.25">
      <c r="A29" s="19">
        <v>45727</v>
      </c>
      <c r="B29" s="8">
        <v>0.4375</v>
      </c>
      <c r="C29" s="12">
        <v>1260</v>
      </c>
      <c r="D29" s="12">
        <f t="shared" si="0"/>
        <v>75600</v>
      </c>
      <c r="E29" s="18">
        <v>9.35</v>
      </c>
      <c r="F29" s="13">
        <f t="shared" si="1"/>
        <v>1.46</v>
      </c>
      <c r="G29" s="10"/>
      <c r="H29" s="10"/>
    </row>
    <row r="30" spans="1:8" x14ac:dyDescent="0.25">
      <c r="A30" s="19">
        <v>45727</v>
      </c>
      <c r="B30" s="8">
        <v>0.47916666666666669</v>
      </c>
      <c r="C30" s="12">
        <v>1320</v>
      </c>
      <c r="D30" s="12">
        <f t="shared" si="0"/>
        <v>79200</v>
      </c>
      <c r="E30" s="18">
        <v>9.3550000000000004</v>
      </c>
      <c r="F30" s="13">
        <f t="shared" si="1"/>
        <v>1.4650000000000007</v>
      </c>
      <c r="G30" s="10"/>
      <c r="H30" s="10"/>
    </row>
    <row r="31" spans="1:8" x14ac:dyDescent="0.25">
      <c r="A31" s="19">
        <v>45727</v>
      </c>
      <c r="B31" s="8">
        <v>0.52083333333333337</v>
      </c>
      <c r="C31" s="12">
        <v>1380</v>
      </c>
      <c r="D31" s="12">
        <f t="shared" si="0"/>
        <v>82800</v>
      </c>
      <c r="E31" s="18">
        <v>9.36</v>
      </c>
      <c r="F31" s="13">
        <f t="shared" si="1"/>
        <v>1.4699999999999998</v>
      </c>
      <c r="G31" s="10"/>
      <c r="H31" s="10"/>
    </row>
    <row r="32" spans="1:8" x14ac:dyDescent="0.25">
      <c r="A32" s="19">
        <v>45727</v>
      </c>
      <c r="B32" s="8">
        <v>0.5625</v>
      </c>
      <c r="C32" s="12">
        <v>1440</v>
      </c>
      <c r="D32" s="12">
        <f t="shared" si="0"/>
        <v>86400</v>
      </c>
      <c r="E32" s="18">
        <v>9.3650000000000002</v>
      </c>
      <c r="F32" s="13">
        <f t="shared" si="1"/>
        <v>1.4750000000000005</v>
      </c>
      <c r="G32" s="10"/>
      <c r="H32" s="10"/>
    </row>
    <row r="33" spans="1:8" x14ac:dyDescent="0.25">
      <c r="A33" s="19">
        <v>45727</v>
      </c>
      <c r="B33" s="8">
        <v>0.60416666666666663</v>
      </c>
      <c r="C33" s="12">
        <v>1500</v>
      </c>
      <c r="D33" s="12">
        <f t="shared" si="0"/>
        <v>90000</v>
      </c>
      <c r="E33" s="18">
        <v>9.3699999999999992</v>
      </c>
      <c r="F33" s="13">
        <f t="shared" si="1"/>
        <v>1.4799999999999995</v>
      </c>
      <c r="G33" s="10"/>
      <c r="H33" s="10"/>
    </row>
    <row r="34" spans="1:8" x14ac:dyDescent="0.25">
      <c r="A34" s="19">
        <v>45727</v>
      </c>
      <c r="B34" s="8">
        <v>0.64583333333333337</v>
      </c>
      <c r="C34" s="12">
        <v>1560</v>
      </c>
      <c r="D34" s="12">
        <f t="shared" si="0"/>
        <v>93600</v>
      </c>
      <c r="E34" s="18">
        <v>9.3800000000000008</v>
      </c>
      <c r="F34" s="13">
        <f t="shared" si="1"/>
        <v>1.4900000000000011</v>
      </c>
      <c r="G34" s="10"/>
      <c r="H34" s="10"/>
    </row>
    <row r="35" spans="1:8" x14ac:dyDescent="0.25">
      <c r="A35" s="19">
        <v>45727</v>
      </c>
      <c r="B35" s="8">
        <v>0.6875</v>
      </c>
      <c r="C35" s="12">
        <v>1620</v>
      </c>
      <c r="D35" s="12">
        <f t="shared" si="0"/>
        <v>97200</v>
      </c>
      <c r="E35" s="18">
        <v>9.3849999999999998</v>
      </c>
      <c r="F35" s="13">
        <f t="shared" si="1"/>
        <v>1.4950000000000001</v>
      </c>
      <c r="G35" s="10"/>
      <c r="H35" s="10"/>
    </row>
    <row r="36" spans="1:8" x14ac:dyDescent="0.25">
      <c r="A36" s="19">
        <v>45727</v>
      </c>
      <c r="B36" s="8">
        <v>0.72916666666666663</v>
      </c>
      <c r="C36" s="12">
        <v>1680</v>
      </c>
      <c r="D36" s="12">
        <f t="shared" si="0"/>
        <v>100800</v>
      </c>
      <c r="E36" s="18">
        <v>9.39</v>
      </c>
      <c r="F36" s="13">
        <f t="shared" si="1"/>
        <v>1.5000000000000009</v>
      </c>
      <c r="G36" s="10"/>
      <c r="H36" s="10"/>
    </row>
    <row r="37" spans="1:8" x14ac:dyDescent="0.25">
      <c r="A37" s="19">
        <v>45727</v>
      </c>
      <c r="B37" s="8">
        <v>0.77083333333333337</v>
      </c>
      <c r="C37" s="12">
        <v>1740</v>
      </c>
      <c r="D37" s="12">
        <f t="shared" si="0"/>
        <v>104400</v>
      </c>
      <c r="E37" s="18">
        <v>9.41</v>
      </c>
      <c r="F37" s="13">
        <f t="shared" si="1"/>
        <v>1.5200000000000005</v>
      </c>
      <c r="G37" s="10"/>
      <c r="H37" s="10"/>
    </row>
    <row r="38" spans="1:8" x14ac:dyDescent="0.25">
      <c r="A38" s="19">
        <v>45727</v>
      </c>
      <c r="B38" s="8">
        <v>0.8125</v>
      </c>
      <c r="C38" s="12">
        <v>1800</v>
      </c>
      <c r="D38" s="12">
        <f t="shared" si="0"/>
        <v>108000</v>
      </c>
      <c r="E38" s="18">
        <v>9.42</v>
      </c>
      <c r="F38" s="13">
        <f t="shared" si="1"/>
        <v>1.5300000000000002</v>
      </c>
      <c r="G38" s="10"/>
      <c r="H38" s="10"/>
    </row>
    <row r="39" spans="1:8" x14ac:dyDescent="0.25">
      <c r="A39" s="19">
        <v>45727</v>
      </c>
      <c r="B39" s="8">
        <v>0.85416666666666663</v>
      </c>
      <c r="C39" s="12">
        <v>1860</v>
      </c>
      <c r="D39" s="12">
        <f t="shared" ref="D39:D104" si="2">+C39*60</f>
        <v>111600</v>
      </c>
      <c r="E39" s="18">
        <v>9.44</v>
      </c>
      <c r="F39" s="13">
        <f t="shared" ref="F39:F104" si="3">+E39-$F$2</f>
        <v>1.5499999999999998</v>
      </c>
      <c r="G39" s="10"/>
      <c r="H39" s="10"/>
    </row>
    <row r="40" spans="1:8" x14ac:dyDescent="0.25">
      <c r="A40" s="19">
        <v>45727</v>
      </c>
      <c r="B40" s="8">
        <v>0.89583333333333337</v>
      </c>
      <c r="C40" s="12">
        <v>1920</v>
      </c>
      <c r="D40" s="12">
        <f t="shared" si="2"/>
        <v>115200</v>
      </c>
      <c r="E40" s="18">
        <v>9.4499999999999993</v>
      </c>
      <c r="F40" s="13">
        <f t="shared" si="3"/>
        <v>1.5599999999999996</v>
      </c>
      <c r="G40" s="10"/>
      <c r="H40" s="10"/>
    </row>
    <row r="41" spans="1:8" x14ac:dyDescent="0.25">
      <c r="A41" s="19">
        <v>45727</v>
      </c>
      <c r="B41" s="8">
        <v>0.9375</v>
      </c>
      <c r="C41" s="12">
        <v>1980</v>
      </c>
      <c r="D41" s="12">
        <f t="shared" si="2"/>
        <v>118800</v>
      </c>
      <c r="E41" s="18">
        <v>9.4600000000000009</v>
      </c>
      <c r="F41" s="13">
        <f t="shared" si="3"/>
        <v>1.5700000000000012</v>
      </c>
      <c r="G41" s="10"/>
      <c r="H41" s="10"/>
    </row>
    <row r="42" spans="1:8" x14ac:dyDescent="0.25">
      <c r="A42" s="19">
        <v>45727</v>
      </c>
      <c r="B42" s="8">
        <v>0.97916666666666663</v>
      </c>
      <c r="C42" s="12">
        <v>2040</v>
      </c>
      <c r="D42" s="12">
        <f t="shared" si="2"/>
        <v>122400</v>
      </c>
      <c r="E42" s="18">
        <v>9.4700000000000006</v>
      </c>
      <c r="F42" s="13">
        <f t="shared" si="3"/>
        <v>1.580000000000001</v>
      </c>
      <c r="G42" s="10"/>
      <c r="H42" s="10"/>
    </row>
    <row r="43" spans="1:8" x14ac:dyDescent="0.25">
      <c r="A43" s="19">
        <v>45728</v>
      </c>
      <c r="B43" s="8">
        <v>2.0833333333333332E-2</v>
      </c>
      <c r="C43" s="12">
        <v>2100</v>
      </c>
      <c r="D43" s="12">
        <f t="shared" si="2"/>
        <v>126000</v>
      </c>
      <c r="E43" s="18">
        <v>9.4730000000000008</v>
      </c>
      <c r="F43" s="13">
        <f t="shared" si="3"/>
        <v>1.5830000000000011</v>
      </c>
      <c r="G43" s="10"/>
      <c r="H43" s="10"/>
    </row>
    <row r="44" spans="1:8" x14ac:dyDescent="0.25">
      <c r="A44" s="19">
        <v>45728</v>
      </c>
      <c r="B44" s="8">
        <v>6.25E-2</v>
      </c>
      <c r="C44" s="12">
        <v>2160</v>
      </c>
      <c r="D44" s="12">
        <f t="shared" si="2"/>
        <v>129600</v>
      </c>
      <c r="E44" s="18">
        <v>9.4770000000000003</v>
      </c>
      <c r="F44" s="13">
        <f t="shared" si="3"/>
        <v>1.5870000000000006</v>
      </c>
      <c r="G44" s="10"/>
      <c r="H44" s="10"/>
    </row>
    <row r="45" spans="1:8" x14ac:dyDescent="0.25">
      <c r="A45" s="19">
        <v>45728</v>
      </c>
      <c r="B45" s="8">
        <v>0.10416666666666667</v>
      </c>
      <c r="C45" s="12">
        <v>2220</v>
      </c>
      <c r="D45" s="12">
        <f t="shared" si="2"/>
        <v>133200</v>
      </c>
      <c r="E45" s="18">
        <v>9.4809999999999999</v>
      </c>
      <c r="F45" s="13">
        <f t="shared" si="3"/>
        <v>1.5910000000000002</v>
      </c>
      <c r="G45" s="10"/>
      <c r="H45" s="10"/>
    </row>
    <row r="46" spans="1:8" x14ac:dyDescent="0.25">
      <c r="A46" s="19">
        <v>45728</v>
      </c>
      <c r="B46" s="8">
        <v>0.14583333333333334</v>
      </c>
      <c r="C46" s="12">
        <v>2280</v>
      </c>
      <c r="D46" s="12">
        <f t="shared" si="2"/>
        <v>136800</v>
      </c>
      <c r="E46" s="18">
        <v>9.4830000000000005</v>
      </c>
      <c r="F46" s="13">
        <f t="shared" si="3"/>
        <v>1.5930000000000009</v>
      </c>
      <c r="G46" s="10"/>
      <c r="H46" s="10"/>
    </row>
    <row r="47" spans="1:8" x14ac:dyDescent="0.25">
      <c r="A47" s="19">
        <v>45728</v>
      </c>
      <c r="B47" s="8">
        <v>0.1875</v>
      </c>
      <c r="C47" s="12">
        <v>2340</v>
      </c>
      <c r="D47" s="12">
        <f t="shared" si="2"/>
        <v>140400</v>
      </c>
      <c r="E47" s="18">
        <v>9.4870000000000001</v>
      </c>
      <c r="F47" s="13">
        <f t="shared" si="3"/>
        <v>1.5970000000000004</v>
      </c>
      <c r="G47" s="10"/>
      <c r="H47" s="10"/>
    </row>
    <row r="48" spans="1:8" x14ac:dyDescent="0.25">
      <c r="A48" s="19">
        <v>45728</v>
      </c>
      <c r="B48" s="8">
        <v>0.22916666666666666</v>
      </c>
      <c r="C48" s="12">
        <v>2400</v>
      </c>
      <c r="D48" s="12">
        <f t="shared" si="2"/>
        <v>144000</v>
      </c>
      <c r="E48" s="18">
        <v>9.49</v>
      </c>
      <c r="F48" s="13">
        <f t="shared" si="3"/>
        <v>1.6000000000000005</v>
      </c>
      <c r="G48" s="10"/>
      <c r="H48" s="10"/>
    </row>
    <row r="49" spans="1:8" x14ac:dyDescent="0.25">
      <c r="A49" s="19">
        <v>45728</v>
      </c>
      <c r="B49" s="8">
        <v>0.27083333333333331</v>
      </c>
      <c r="C49" s="12">
        <v>2460</v>
      </c>
      <c r="D49" s="12">
        <f t="shared" si="2"/>
        <v>147600</v>
      </c>
      <c r="E49" s="18">
        <v>9.4969999999999999</v>
      </c>
      <c r="F49" s="13">
        <f t="shared" si="3"/>
        <v>1.6070000000000002</v>
      </c>
      <c r="G49" s="10"/>
      <c r="H49" s="10"/>
    </row>
    <row r="50" spans="1:8" x14ac:dyDescent="0.25">
      <c r="A50" s="19">
        <v>45728</v>
      </c>
      <c r="B50" s="8">
        <v>0.3125</v>
      </c>
      <c r="C50" s="12">
        <v>2520</v>
      </c>
      <c r="D50" s="12">
        <f t="shared" si="2"/>
        <v>151200</v>
      </c>
      <c r="E50" s="18">
        <v>9.5</v>
      </c>
      <c r="F50" s="13">
        <f t="shared" si="3"/>
        <v>1.6100000000000003</v>
      </c>
      <c r="G50" s="10"/>
      <c r="H50" s="10"/>
    </row>
    <row r="51" spans="1:8" x14ac:dyDescent="0.25">
      <c r="A51" s="19">
        <v>45728</v>
      </c>
      <c r="B51" s="8">
        <v>0.35416666666666669</v>
      </c>
      <c r="C51" s="12">
        <v>2580</v>
      </c>
      <c r="D51" s="12">
        <f t="shared" si="2"/>
        <v>154800</v>
      </c>
      <c r="E51" s="18">
        <v>9.5030000000000001</v>
      </c>
      <c r="F51" s="13">
        <f t="shared" si="3"/>
        <v>1.6130000000000004</v>
      </c>
      <c r="G51" s="10"/>
      <c r="H51" s="10"/>
    </row>
    <row r="52" spans="1:8" x14ac:dyDescent="0.25">
      <c r="A52" s="19">
        <v>45728</v>
      </c>
      <c r="B52" s="8">
        <v>0.39583333333333331</v>
      </c>
      <c r="C52" s="12">
        <v>2640</v>
      </c>
      <c r="D52" s="12">
        <f t="shared" si="2"/>
        <v>158400</v>
      </c>
      <c r="E52" s="18">
        <v>9.51</v>
      </c>
      <c r="F52" s="13">
        <f t="shared" si="3"/>
        <v>1.62</v>
      </c>
      <c r="G52" s="10"/>
      <c r="H52" s="10"/>
    </row>
    <row r="53" spans="1:8" x14ac:dyDescent="0.25">
      <c r="A53" s="19">
        <v>45728</v>
      </c>
      <c r="B53" s="8">
        <v>0.4375</v>
      </c>
      <c r="C53" s="12">
        <v>2700</v>
      </c>
      <c r="D53" s="12">
        <f t="shared" si="2"/>
        <v>162000</v>
      </c>
      <c r="E53" s="18">
        <v>9.5150000000000006</v>
      </c>
      <c r="F53" s="13">
        <f t="shared" si="3"/>
        <v>1.6250000000000009</v>
      </c>
      <c r="G53" s="10"/>
      <c r="H53" s="10"/>
    </row>
    <row r="54" spans="1:8" x14ac:dyDescent="0.25">
      <c r="A54" s="19">
        <v>45728</v>
      </c>
      <c r="B54" s="8">
        <v>0.47916666666666669</v>
      </c>
      <c r="C54" s="12">
        <v>2760</v>
      </c>
      <c r="D54" s="12">
        <f t="shared" si="2"/>
        <v>165600</v>
      </c>
      <c r="E54" s="18">
        <v>9.5229999999999997</v>
      </c>
      <c r="F54" s="13">
        <f t="shared" si="3"/>
        <v>1.633</v>
      </c>
      <c r="G54" s="10"/>
      <c r="H54" s="10"/>
    </row>
    <row r="55" spans="1:8" x14ac:dyDescent="0.25">
      <c r="A55" s="19">
        <v>45728</v>
      </c>
      <c r="B55" s="8">
        <v>0.52083333333333337</v>
      </c>
      <c r="C55" s="12">
        <v>2820</v>
      </c>
      <c r="D55" s="12">
        <f t="shared" si="2"/>
        <v>169200</v>
      </c>
      <c r="E55" s="18">
        <v>9.5239999999999991</v>
      </c>
      <c r="F55" s="13">
        <f t="shared" si="3"/>
        <v>1.6339999999999995</v>
      </c>
      <c r="G55" s="10"/>
      <c r="H55" s="10"/>
    </row>
    <row r="56" spans="1:8" x14ac:dyDescent="0.25">
      <c r="A56" s="19">
        <v>45728</v>
      </c>
      <c r="B56" s="8">
        <v>0.5625</v>
      </c>
      <c r="C56" s="12">
        <v>2880</v>
      </c>
      <c r="D56" s="12">
        <f t="shared" si="2"/>
        <v>172800</v>
      </c>
      <c r="E56" s="18">
        <v>9.5250000000000004</v>
      </c>
      <c r="F56" s="13">
        <f t="shared" si="3"/>
        <v>1.6350000000000007</v>
      </c>
      <c r="G56" s="10"/>
      <c r="H56" s="10"/>
    </row>
    <row r="57" spans="1:8" x14ac:dyDescent="0.25">
      <c r="A57" s="19">
        <v>45728</v>
      </c>
      <c r="B57" s="8">
        <v>0.60416666666666696</v>
      </c>
      <c r="C57" s="12">
        <v>2940</v>
      </c>
      <c r="D57" s="12">
        <f t="shared" si="2"/>
        <v>176400</v>
      </c>
      <c r="E57" s="18">
        <v>9.5259999999999998</v>
      </c>
      <c r="F57" s="13">
        <f t="shared" si="3"/>
        <v>1.6360000000000001</v>
      </c>
      <c r="G57" s="10"/>
      <c r="H57" s="10"/>
    </row>
    <row r="58" spans="1:8" x14ac:dyDescent="0.25">
      <c r="A58" s="19">
        <v>45728</v>
      </c>
      <c r="B58" s="8">
        <v>0.64583333333333337</v>
      </c>
      <c r="C58" s="12">
        <v>3000</v>
      </c>
      <c r="D58" s="12">
        <f t="shared" si="2"/>
        <v>180000</v>
      </c>
      <c r="E58" s="18">
        <v>9.5269999999999992</v>
      </c>
      <c r="F58" s="13">
        <f t="shared" si="3"/>
        <v>1.6369999999999996</v>
      </c>
      <c r="G58" s="10"/>
      <c r="H58" s="10"/>
    </row>
    <row r="59" spans="1:8" x14ac:dyDescent="0.25">
      <c r="A59" s="19">
        <v>45728</v>
      </c>
      <c r="B59" s="8">
        <v>0.6875</v>
      </c>
      <c r="C59" s="12">
        <v>3060</v>
      </c>
      <c r="D59" s="12">
        <f t="shared" si="2"/>
        <v>183600</v>
      </c>
      <c r="E59" s="18">
        <v>9.5280000000000005</v>
      </c>
      <c r="F59" s="13">
        <f t="shared" si="3"/>
        <v>1.6380000000000008</v>
      </c>
      <c r="G59" s="10"/>
      <c r="H59" s="10"/>
    </row>
    <row r="60" spans="1:8" x14ac:dyDescent="0.25">
      <c r="A60" s="19">
        <v>45728</v>
      </c>
      <c r="B60" s="8">
        <v>0.72916666666666696</v>
      </c>
      <c r="C60" s="12">
        <v>3120</v>
      </c>
      <c r="D60" s="12">
        <f t="shared" si="2"/>
        <v>187200</v>
      </c>
      <c r="E60" s="18">
        <v>9.5299999999999994</v>
      </c>
      <c r="F60" s="13">
        <f t="shared" si="3"/>
        <v>1.6399999999999997</v>
      </c>
      <c r="G60" s="10"/>
      <c r="H60" s="10"/>
    </row>
    <row r="61" spans="1:8" x14ac:dyDescent="0.25">
      <c r="A61" s="19">
        <v>45728</v>
      </c>
      <c r="B61" s="8">
        <v>0.77083333333333404</v>
      </c>
      <c r="C61" s="12">
        <v>3180</v>
      </c>
      <c r="D61" s="12">
        <f t="shared" si="2"/>
        <v>190800</v>
      </c>
      <c r="E61" s="18">
        <v>9.5310000000000006</v>
      </c>
      <c r="F61" s="13">
        <f t="shared" si="3"/>
        <v>1.6410000000000009</v>
      </c>
      <c r="G61" s="10"/>
      <c r="H61" s="10"/>
    </row>
    <row r="62" spans="1:8" x14ac:dyDescent="0.25">
      <c r="A62" s="19">
        <v>45728</v>
      </c>
      <c r="B62" s="8">
        <v>0.8125</v>
      </c>
      <c r="C62" s="12">
        <v>3240</v>
      </c>
      <c r="D62" s="12">
        <f t="shared" si="2"/>
        <v>194400</v>
      </c>
      <c r="E62" s="18">
        <v>9.5399999999999991</v>
      </c>
      <c r="F62" s="13">
        <f t="shared" si="3"/>
        <v>1.6499999999999995</v>
      </c>
      <c r="G62" s="10"/>
      <c r="H62" s="11"/>
    </row>
    <row r="63" spans="1:8" x14ac:dyDescent="0.25">
      <c r="A63" s="19">
        <v>45728</v>
      </c>
      <c r="B63" s="8">
        <v>0.85416666666666696</v>
      </c>
      <c r="C63" s="12">
        <v>3300</v>
      </c>
      <c r="D63" s="12">
        <f t="shared" si="2"/>
        <v>198000</v>
      </c>
      <c r="E63" s="18">
        <v>9.5440000000000005</v>
      </c>
      <c r="F63" s="13">
        <f t="shared" si="3"/>
        <v>1.6540000000000008</v>
      </c>
      <c r="G63" s="10"/>
      <c r="H63" s="11"/>
    </row>
    <row r="64" spans="1:8" x14ac:dyDescent="0.25">
      <c r="A64" s="19">
        <v>45728</v>
      </c>
      <c r="B64" s="8">
        <v>0.89583333333333304</v>
      </c>
      <c r="C64" s="12">
        <v>3360</v>
      </c>
      <c r="D64" s="12">
        <f t="shared" si="2"/>
        <v>201600</v>
      </c>
      <c r="E64" s="18">
        <v>9.5500000000000007</v>
      </c>
      <c r="F64" s="13">
        <f t="shared" si="3"/>
        <v>1.660000000000001</v>
      </c>
      <c r="G64" s="10"/>
      <c r="H64" s="11"/>
    </row>
    <row r="65" spans="1:8" x14ac:dyDescent="0.25">
      <c r="A65" s="19">
        <v>45728</v>
      </c>
      <c r="B65" s="8">
        <v>0.9375</v>
      </c>
      <c r="C65" s="12">
        <v>3420</v>
      </c>
      <c r="D65" s="12">
        <f t="shared" si="2"/>
        <v>205200</v>
      </c>
      <c r="E65" s="18">
        <v>9.5549999999999997</v>
      </c>
      <c r="F65" s="13">
        <f t="shared" si="3"/>
        <v>1.665</v>
      </c>
      <c r="G65" s="10"/>
      <c r="H65" s="11"/>
    </row>
    <row r="66" spans="1:8" x14ac:dyDescent="0.25">
      <c r="A66" s="19">
        <v>45728</v>
      </c>
      <c r="B66" s="8">
        <v>0.97916666666666696</v>
      </c>
      <c r="C66" s="12">
        <v>3480</v>
      </c>
      <c r="D66" s="12">
        <f t="shared" si="2"/>
        <v>208800</v>
      </c>
      <c r="E66" s="18">
        <v>9.56</v>
      </c>
      <c r="F66" s="13">
        <f t="shared" si="3"/>
        <v>1.6700000000000008</v>
      </c>
      <c r="G66" s="10"/>
      <c r="H66" s="11"/>
    </row>
    <row r="67" spans="1:8" x14ac:dyDescent="0.25">
      <c r="A67" s="19">
        <v>45729</v>
      </c>
      <c r="B67" s="8">
        <v>2.0833333333333332E-2</v>
      </c>
      <c r="C67" s="12">
        <v>3540</v>
      </c>
      <c r="D67" s="12">
        <f t="shared" si="2"/>
        <v>212400</v>
      </c>
      <c r="E67" s="18">
        <v>9.5640000000000001</v>
      </c>
      <c r="F67" s="13">
        <f t="shared" si="3"/>
        <v>1.6740000000000004</v>
      </c>
      <c r="G67" s="10"/>
      <c r="H67" s="11"/>
    </row>
    <row r="68" spans="1:8" x14ac:dyDescent="0.25">
      <c r="A68" s="19">
        <v>45729</v>
      </c>
      <c r="B68" s="8">
        <v>6.25E-2</v>
      </c>
      <c r="C68" s="12">
        <v>3600</v>
      </c>
      <c r="D68" s="12">
        <f t="shared" si="2"/>
        <v>216000</v>
      </c>
      <c r="E68" s="18">
        <v>9.5630000000000006</v>
      </c>
      <c r="F68" s="13">
        <f t="shared" si="3"/>
        <v>1.6730000000000009</v>
      </c>
      <c r="G68" s="10"/>
      <c r="H68" s="11"/>
    </row>
    <row r="69" spans="1:8" x14ac:dyDescent="0.25">
      <c r="A69" s="19">
        <v>45729</v>
      </c>
      <c r="B69" s="8">
        <v>0.10416666666666667</v>
      </c>
      <c r="C69" s="12">
        <v>3660</v>
      </c>
      <c r="D69" s="12">
        <f t="shared" si="2"/>
        <v>219600</v>
      </c>
      <c r="E69" s="18">
        <v>9.5640000000000001</v>
      </c>
      <c r="F69" s="13">
        <f t="shared" si="3"/>
        <v>1.6740000000000004</v>
      </c>
      <c r="G69" s="10"/>
      <c r="H69" s="11"/>
    </row>
    <row r="70" spans="1:8" x14ac:dyDescent="0.25">
      <c r="A70" s="19">
        <v>45729</v>
      </c>
      <c r="B70" s="8">
        <v>0.14583333333333334</v>
      </c>
      <c r="C70" s="12">
        <v>3720</v>
      </c>
      <c r="D70" s="12">
        <f t="shared" si="2"/>
        <v>223200</v>
      </c>
      <c r="E70" s="18">
        <v>9.5649999999999995</v>
      </c>
      <c r="F70" s="13">
        <f t="shared" si="3"/>
        <v>1.6749999999999998</v>
      </c>
      <c r="G70" s="10"/>
      <c r="H70" s="11"/>
    </row>
    <row r="71" spans="1:8" x14ac:dyDescent="0.25">
      <c r="A71" s="19">
        <v>45729</v>
      </c>
      <c r="B71" s="8">
        <v>0.1875</v>
      </c>
      <c r="C71" s="12">
        <v>3780</v>
      </c>
      <c r="D71" s="12">
        <f t="shared" si="2"/>
        <v>226800</v>
      </c>
      <c r="E71" s="18">
        <v>9.5660000000000007</v>
      </c>
      <c r="F71" s="13">
        <f t="shared" si="3"/>
        <v>1.676000000000001</v>
      </c>
      <c r="G71" s="10"/>
      <c r="H71" s="11"/>
    </row>
    <row r="72" spans="1:8" x14ac:dyDescent="0.25">
      <c r="A72" s="19">
        <v>45729</v>
      </c>
      <c r="B72" s="8">
        <v>0.22916666666666666</v>
      </c>
      <c r="C72" s="12">
        <v>3840</v>
      </c>
      <c r="D72" s="12">
        <f t="shared" si="2"/>
        <v>230400</v>
      </c>
      <c r="E72" s="18">
        <v>9.5670000000000002</v>
      </c>
      <c r="F72" s="13">
        <f t="shared" si="3"/>
        <v>1.6770000000000005</v>
      </c>
      <c r="G72" s="10"/>
      <c r="H72" s="11"/>
    </row>
    <row r="73" spans="1:8" x14ac:dyDescent="0.25">
      <c r="A73" s="19">
        <v>45729</v>
      </c>
      <c r="B73" s="8">
        <v>0.27083333333333331</v>
      </c>
      <c r="C73" s="12">
        <v>3900</v>
      </c>
      <c r="D73" s="12">
        <f t="shared" si="2"/>
        <v>234000</v>
      </c>
      <c r="E73" s="18">
        <v>9.5679999999999996</v>
      </c>
      <c r="F73" s="13">
        <f t="shared" si="3"/>
        <v>1.6779999999999999</v>
      </c>
      <c r="G73" s="10"/>
      <c r="H73" s="11"/>
    </row>
    <row r="74" spans="1:8" x14ac:dyDescent="0.25">
      <c r="A74" s="19">
        <v>45729</v>
      </c>
      <c r="B74" s="8">
        <v>0.3125</v>
      </c>
      <c r="C74" s="12">
        <v>3960</v>
      </c>
      <c r="D74" s="12">
        <f t="shared" si="2"/>
        <v>237600</v>
      </c>
      <c r="E74" s="18">
        <v>9.57</v>
      </c>
      <c r="F74" s="13">
        <f t="shared" si="3"/>
        <v>1.6800000000000006</v>
      </c>
      <c r="G74" s="10"/>
      <c r="H74" s="11"/>
    </row>
    <row r="75" spans="1:8" x14ac:dyDescent="0.25">
      <c r="A75" s="19">
        <v>45729</v>
      </c>
      <c r="B75" s="8">
        <v>0.35416666666666669</v>
      </c>
      <c r="C75" s="12">
        <v>4020</v>
      </c>
      <c r="D75" s="12">
        <f t="shared" si="2"/>
        <v>241200</v>
      </c>
      <c r="E75" s="18">
        <v>9.5719999999999992</v>
      </c>
      <c r="F75" s="13">
        <f t="shared" si="3"/>
        <v>1.6819999999999995</v>
      </c>
      <c r="G75" s="10"/>
      <c r="H75" s="11"/>
    </row>
    <row r="76" spans="1:8" x14ac:dyDescent="0.25">
      <c r="A76" s="19">
        <v>45729</v>
      </c>
      <c r="B76" s="8">
        <v>0.39583333333333331</v>
      </c>
      <c r="C76" s="12">
        <v>4080</v>
      </c>
      <c r="D76" s="12">
        <f t="shared" si="2"/>
        <v>244800</v>
      </c>
      <c r="E76" s="18">
        <v>9.58</v>
      </c>
      <c r="F76" s="13">
        <f t="shared" si="3"/>
        <v>1.6900000000000004</v>
      </c>
      <c r="G76" s="10"/>
      <c r="H76" s="11"/>
    </row>
    <row r="77" spans="1:8" x14ac:dyDescent="0.25">
      <c r="A77" s="19">
        <v>45729</v>
      </c>
      <c r="B77" s="8">
        <v>0.4375</v>
      </c>
      <c r="C77" s="12">
        <v>4140</v>
      </c>
      <c r="D77" s="12">
        <f t="shared" si="2"/>
        <v>248400</v>
      </c>
      <c r="E77" s="18">
        <v>9.5820000000000007</v>
      </c>
      <c r="F77" s="13">
        <f t="shared" si="3"/>
        <v>1.6920000000000011</v>
      </c>
      <c r="G77" s="10"/>
      <c r="H77" s="11"/>
    </row>
    <row r="78" spans="1:8" x14ac:dyDescent="0.25">
      <c r="A78" s="19">
        <v>45729</v>
      </c>
      <c r="B78" s="8">
        <v>0.47916666666666669</v>
      </c>
      <c r="C78" s="12">
        <v>4200</v>
      </c>
      <c r="D78" s="12">
        <f t="shared" si="2"/>
        <v>252000</v>
      </c>
      <c r="E78" s="18">
        <v>9.5830000000000002</v>
      </c>
      <c r="F78" s="13">
        <f t="shared" si="3"/>
        <v>1.6930000000000005</v>
      </c>
      <c r="G78" s="10"/>
      <c r="H78" s="11"/>
    </row>
    <row r="79" spans="1:8" x14ac:dyDescent="0.25">
      <c r="A79" s="19">
        <v>45729</v>
      </c>
      <c r="B79" s="8">
        <v>0.52083333333333337</v>
      </c>
      <c r="C79" s="12">
        <v>4260</v>
      </c>
      <c r="D79" s="12">
        <f t="shared" si="2"/>
        <v>255600</v>
      </c>
      <c r="E79" s="18">
        <v>9.5839999999999996</v>
      </c>
      <c r="F79" s="13">
        <f t="shared" si="3"/>
        <v>1.694</v>
      </c>
      <c r="G79" s="10"/>
      <c r="H79" s="11"/>
    </row>
    <row r="80" spans="1:8" x14ac:dyDescent="0.25">
      <c r="A80" s="19">
        <v>45729</v>
      </c>
      <c r="B80" s="8">
        <v>0.5625</v>
      </c>
      <c r="C80" s="12">
        <v>4320</v>
      </c>
      <c r="D80" s="12">
        <f t="shared" si="2"/>
        <v>259200</v>
      </c>
      <c r="E80" s="18">
        <v>9.5860000000000003</v>
      </c>
      <c r="F80" s="13">
        <f t="shared" si="3"/>
        <v>1.6960000000000006</v>
      </c>
      <c r="G80" s="10"/>
      <c r="H80" s="11"/>
    </row>
    <row r="81" spans="1:8" x14ac:dyDescent="0.25">
      <c r="A81" s="19">
        <v>45729</v>
      </c>
      <c r="B81" s="8">
        <v>0.60416666666666663</v>
      </c>
      <c r="C81" s="12">
        <v>4380</v>
      </c>
      <c r="D81" s="12">
        <f t="shared" si="2"/>
        <v>262800</v>
      </c>
      <c r="E81" s="18">
        <v>9.5860000000000003</v>
      </c>
      <c r="F81" s="13">
        <f t="shared" si="3"/>
        <v>1.6960000000000006</v>
      </c>
      <c r="G81" s="10"/>
      <c r="H81" s="11"/>
    </row>
    <row r="82" spans="1:8" x14ac:dyDescent="0.25">
      <c r="A82" s="19">
        <v>45729</v>
      </c>
      <c r="B82" s="8">
        <v>0.64583333333333337</v>
      </c>
      <c r="C82" s="12">
        <v>4440</v>
      </c>
      <c r="D82" s="12">
        <f t="shared" si="2"/>
        <v>266400</v>
      </c>
      <c r="E82" s="18">
        <v>9.5869999999999997</v>
      </c>
      <c r="F82" s="13">
        <f t="shared" si="3"/>
        <v>1.6970000000000001</v>
      </c>
      <c r="G82" s="10"/>
      <c r="H82" s="11"/>
    </row>
    <row r="83" spans="1:8" x14ac:dyDescent="0.25">
      <c r="A83" s="19">
        <v>45729</v>
      </c>
      <c r="B83" s="8">
        <v>0.6875</v>
      </c>
      <c r="C83" s="12">
        <v>4500</v>
      </c>
      <c r="D83" s="12">
        <f t="shared" si="2"/>
        <v>270000</v>
      </c>
      <c r="E83" s="18">
        <v>9.5890000000000004</v>
      </c>
      <c r="F83" s="13">
        <f t="shared" si="3"/>
        <v>1.6990000000000007</v>
      </c>
      <c r="G83" s="10"/>
      <c r="H83" s="11"/>
    </row>
    <row r="84" spans="1:8" x14ac:dyDescent="0.25">
      <c r="A84" s="19">
        <v>45729</v>
      </c>
      <c r="B84" s="8">
        <v>0.72916666666666663</v>
      </c>
      <c r="C84" s="12">
        <v>4560</v>
      </c>
      <c r="D84" s="12">
        <f t="shared" si="2"/>
        <v>273600</v>
      </c>
      <c r="E84" s="18">
        <v>9.5920000000000005</v>
      </c>
      <c r="F84" s="13">
        <f t="shared" si="3"/>
        <v>1.7020000000000008</v>
      </c>
      <c r="G84" s="10"/>
      <c r="H84" s="11"/>
    </row>
    <row r="85" spans="1:8" x14ac:dyDescent="0.25">
      <c r="A85" s="19">
        <v>45729</v>
      </c>
      <c r="B85" s="8">
        <v>0.77083333333333337</v>
      </c>
      <c r="C85" s="12">
        <v>4620</v>
      </c>
      <c r="D85" s="12">
        <f t="shared" si="2"/>
        <v>277200</v>
      </c>
      <c r="E85" s="18">
        <v>9.5939999999999994</v>
      </c>
      <c r="F85" s="13">
        <f t="shared" si="3"/>
        <v>1.7039999999999997</v>
      </c>
      <c r="G85" s="10"/>
      <c r="H85" s="11"/>
    </row>
    <row r="86" spans="1:8" x14ac:dyDescent="0.25">
      <c r="A86" s="19">
        <v>45729</v>
      </c>
      <c r="B86" s="8">
        <v>0.8125</v>
      </c>
      <c r="C86" s="12">
        <v>4680</v>
      </c>
      <c r="D86" s="12">
        <f t="shared" si="2"/>
        <v>280800</v>
      </c>
      <c r="E86" s="18">
        <v>9.5960000000000001</v>
      </c>
      <c r="F86" s="13">
        <f t="shared" si="3"/>
        <v>1.7060000000000004</v>
      </c>
      <c r="G86" s="10"/>
      <c r="H86" s="11"/>
    </row>
    <row r="87" spans="1:8" x14ac:dyDescent="0.25">
      <c r="A87" s="19">
        <v>45729</v>
      </c>
      <c r="B87" s="8">
        <v>0.85416666666666663</v>
      </c>
      <c r="C87" s="12">
        <v>4740</v>
      </c>
      <c r="D87" s="12">
        <f t="shared" si="2"/>
        <v>284400</v>
      </c>
      <c r="E87" s="18">
        <v>9.5980000000000008</v>
      </c>
      <c r="F87" s="13">
        <f t="shared" si="3"/>
        <v>1.7080000000000011</v>
      </c>
      <c r="G87" s="10"/>
      <c r="H87" s="11"/>
    </row>
    <row r="88" spans="1:8" x14ac:dyDescent="0.25">
      <c r="A88" s="19">
        <v>45729</v>
      </c>
      <c r="B88" s="8">
        <v>0.89583333333333337</v>
      </c>
      <c r="C88" s="12">
        <v>4800</v>
      </c>
      <c r="D88" s="12">
        <f t="shared" si="2"/>
        <v>288000</v>
      </c>
      <c r="E88" s="18">
        <v>9.6</v>
      </c>
      <c r="F88" s="13">
        <f t="shared" si="3"/>
        <v>1.71</v>
      </c>
      <c r="G88" s="10"/>
      <c r="H88" s="11"/>
    </row>
    <row r="89" spans="1:8" x14ac:dyDescent="0.25">
      <c r="A89" s="19">
        <v>45729</v>
      </c>
      <c r="B89" s="8">
        <v>0.9375</v>
      </c>
      <c r="C89" s="12">
        <v>4860</v>
      </c>
      <c r="D89" s="12">
        <f t="shared" si="2"/>
        <v>291600</v>
      </c>
      <c r="E89" s="18">
        <v>9.6050000000000004</v>
      </c>
      <c r="F89" s="13">
        <f t="shared" si="3"/>
        <v>1.7150000000000007</v>
      </c>
      <c r="G89" s="10"/>
      <c r="H89" s="11"/>
    </row>
    <row r="90" spans="1:8" x14ac:dyDescent="0.25">
      <c r="A90" s="19">
        <v>45729</v>
      </c>
      <c r="B90" s="8">
        <v>0.97916666666666663</v>
      </c>
      <c r="C90" s="12">
        <v>4920</v>
      </c>
      <c r="D90" s="12">
        <f t="shared" si="2"/>
        <v>295200</v>
      </c>
      <c r="E90" s="18">
        <v>9.61</v>
      </c>
      <c r="F90" s="13">
        <f t="shared" si="3"/>
        <v>1.7199999999999998</v>
      </c>
      <c r="G90" s="10"/>
      <c r="H90" s="11"/>
    </row>
    <row r="91" spans="1:8" x14ac:dyDescent="0.25">
      <c r="A91" s="19">
        <v>45730</v>
      </c>
      <c r="B91" s="8">
        <v>2.0833333333333332E-2</v>
      </c>
      <c r="C91" s="12">
        <v>4980</v>
      </c>
      <c r="D91" s="12">
        <f t="shared" si="2"/>
        <v>298800</v>
      </c>
      <c r="E91" s="18">
        <v>9.61</v>
      </c>
      <c r="F91" s="13">
        <f t="shared" si="3"/>
        <v>1.7199999999999998</v>
      </c>
      <c r="G91" s="10"/>
      <c r="H91" s="11"/>
    </row>
    <row r="92" spans="1:8" x14ac:dyDescent="0.25">
      <c r="A92" s="19">
        <v>45730</v>
      </c>
      <c r="B92" s="8">
        <v>6.25E-2</v>
      </c>
      <c r="C92" s="12">
        <v>5040</v>
      </c>
      <c r="D92" s="12">
        <f t="shared" si="2"/>
        <v>302400</v>
      </c>
      <c r="E92" s="18">
        <v>9.61</v>
      </c>
      <c r="F92" s="13">
        <f t="shared" si="3"/>
        <v>1.7199999999999998</v>
      </c>
      <c r="G92" s="10"/>
      <c r="H92" s="11"/>
    </row>
    <row r="93" spans="1:8" x14ac:dyDescent="0.25">
      <c r="A93" s="19">
        <v>45730</v>
      </c>
      <c r="B93" s="8">
        <v>0.10416666666666667</v>
      </c>
      <c r="C93" s="12">
        <v>5100</v>
      </c>
      <c r="D93" s="12">
        <f t="shared" si="2"/>
        <v>306000</v>
      </c>
      <c r="E93" s="18">
        <v>9.6105</v>
      </c>
      <c r="F93" s="13">
        <f t="shared" si="3"/>
        <v>1.7205000000000004</v>
      </c>
      <c r="G93" s="10"/>
      <c r="H93" s="11"/>
    </row>
    <row r="94" spans="1:8" x14ac:dyDescent="0.25">
      <c r="A94" s="19">
        <v>45730</v>
      </c>
      <c r="B94" s="8">
        <v>0.14583333333333334</v>
      </c>
      <c r="C94" s="12">
        <v>5160</v>
      </c>
      <c r="D94" s="12">
        <f t="shared" si="2"/>
        <v>309600</v>
      </c>
      <c r="E94" s="18">
        <v>9.6110000000000007</v>
      </c>
      <c r="F94" s="13">
        <f t="shared" si="3"/>
        <v>1.721000000000001</v>
      </c>
      <c r="G94" s="10"/>
      <c r="H94" s="11"/>
    </row>
    <row r="95" spans="1:8" x14ac:dyDescent="0.25">
      <c r="A95" s="19">
        <v>45730</v>
      </c>
      <c r="B95" s="8">
        <v>0.1875</v>
      </c>
      <c r="C95" s="12">
        <v>5220</v>
      </c>
      <c r="D95" s="12">
        <f t="shared" si="2"/>
        <v>313200</v>
      </c>
      <c r="E95" s="18">
        <v>9.6114999999999995</v>
      </c>
      <c r="F95" s="13">
        <f t="shared" si="3"/>
        <v>1.7214999999999998</v>
      </c>
      <c r="G95" s="10"/>
      <c r="H95" s="11"/>
    </row>
    <row r="96" spans="1:8" x14ac:dyDescent="0.25">
      <c r="A96" s="19">
        <v>45730</v>
      </c>
      <c r="B96" s="8">
        <v>0.22916666666666666</v>
      </c>
      <c r="C96" s="12">
        <v>5280</v>
      </c>
      <c r="D96" s="12">
        <f t="shared" si="2"/>
        <v>316800</v>
      </c>
      <c r="E96" s="18">
        <v>9.6120000000000001</v>
      </c>
      <c r="F96" s="13">
        <f t="shared" si="3"/>
        <v>1.7220000000000004</v>
      </c>
      <c r="G96" s="10"/>
      <c r="H96" s="11"/>
    </row>
    <row r="97" spans="1:8" x14ac:dyDescent="0.25">
      <c r="A97" s="19">
        <v>45730</v>
      </c>
      <c r="B97" s="8">
        <v>0.27083333333333331</v>
      </c>
      <c r="C97" s="12">
        <v>5340</v>
      </c>
      <c r="D97" s="12">
        <f t="shared" si="2"/>
        <v>320400</v>
      </c>
      <c r="E97" s="18">
        <v>9.6125000000000007</v>
      </c>
      <c r="F97" s="13">
        <f t="shared" si="3"/>
        <v>1.722500000000001</v>
      </c>
      <c r="G97" s="10"/>
      <c r="H97" s="11"/>
    </row>
    <row r="98" spans="1:8" x14ac:dyDescent="0.25">
      <c r="A98" s="19">
        <v>45730</v>
      </c>
      <c r="B98" s="8">
        <v>0.3125</v>
      </c>
      <c r="C98" s="12">
        <v>5400</v>
      </c>
      <c r="D98" s="12">
        <f t="shared" si="2"/>
        <v>324000</v>
      </c>
      <c r="E98" s="18">
        <v>9.6129999999999995</v>
      </c>
      <c r="F98" s="13">
        <f t="shared" si="3"/>
        <v>1.7229999999999999</v>
      </c>
      <c r="G98" s="10"/>
      <c r="H98" s="11"/>
    </row>
    <row r="99" spans="1:8" x14ac:dyDescent="0.25">
      <c r="A99" s="19">
        <v>45730</v>
      </c>
      <c r="B99" s="8">
        <v>0.35416666666666669</v>
      </c>
      <c r="C99" s="12">
        <v>5460</v>
      </c>
      <c r="D99" s="12">
        <f t="shared" si="2"/>
        <v>327600</v>
      </c>
      <c r="E99" s="18">
        <v>9.6137999999999995</v>
      </c>
      <c r="F99" s="13">
        <f t="shared" si="3"/>
        <v>1.7237999999999998</v>
      </c>
      <c r="G99" s="10"/>
      <c r="H99" s="11"/>
    </row>
    <row r="100" spans="1:8" x14ac:dyDescent="0.25">
      <c r="A100" s="19">
        <v>45730</v>
      </c>
      <c r="B100" s="8">
        <v>0.39583333333333331</v>
      </c>
      <c r="C100" s="12">
        <v>5520</v>
      </c>
      <c r="D100" s="12">
        <f t="shared" si="2"/>
        <v>331200</v>
      </c>
      <c r="E100" s="18">
        <v>9.6150000000000002</v>
      </c>
      <c r="F100" s="13">
        <f t="shared" si="3"/>
        <v>1.7250000000000005</v>
      </c>
      <c r="G100" s="10"/>
      <c r="H100" s="11"/>
    </row>
    <row r="101" spans="1:8" x14ac:dyDescent="0.25">
      <c r="A101" s="19">
        <v>45730</v>
      </c>
      <c r="B101" s="8">
        <v>0.4375</v>
      </c>
      <c r="C101" s="12">
        <v>5580</v>
      </c>
      <c r="D101" s="12">
        <f t="shared" si="2"/>
        <v>334800</v>
      </c>
      <c r="E101" s="18">
        <v>9.6180000000000003</v>
      </c>
      <c r="F101" s="13">
        <f t="shared" si="3"/>
        <v>1.7280000000000006</v>
      </c>
      <c r="G101" s="10"/>
      <c r="H101" s="11"/>
    </row>
    <row r="102" spans="1:8" x14ac:dyDescent="0.25">
      <c r="A102" s="19">
        <v>45730</v>
      </c>
      <c r="B102" s="8">
        <v>0.47916666666666669</v>
      </c>
      <c r="C102" s="12">
        <v>5640</v>
      </c>
      <c r="D102" s="12">
        <f t="shared" si="2"/>
        <v>338400</v>
      </c>
      <c r="E102" s="18">
        <v>9.6199999999999992</v>
      </c>
      <c r="F102" s="13">
        <f t="shared" si="3"/>
        <v>1.7299999999999995</v>
      </c>
      <c r="G102" s="10"/>
      <c r="H102" s="11"/>
    </row>
    <row r="103" spans="1:8" x14ac:dyDescent="0.25">
      <c r="A103" s="19">
        <v>45730</v>
      </c>
      <c r="B103" s="8">
        <v>0.52083333333333337</v>
      </c>
      <c r="C103" s="12">
        <v>5700</v>
      </c>
      <c r="D103" s="12">
        <f t="shared" si="2"/>
        <v>342000</v>
      </c>
      <c r="E103" s="18">
        <v>9.6229999999999993</v>
      </c>
      <c r="F103" s="13">
        <f t="shared" si="3"/>
        <v>1.7329999999999997</v>
      </c>
      <c r="G103" s="10"/>
      <c r="H103" s="11"/>
    </row>
    <row r="104" spans="1:8" x14ac:dyDescent="0.25">
      <c r="A104" s="19">
        <v>45730</v>
      </c>
      <c r="B104" s="8">
        <v>0.5625</v>
      </c>
      <c r="C104" s="12">
        <v>5760</v>
      </c>
      <c r="D104" s="12">
        <f t="shared" si="2"/>
        <v>345600</v>
      </c>
      <c r="E104" s="18">
        <v>9.625</v>
      </c>
      <c r="F104" s="13">
        <f t="shared" si="3"/>
        <v>1.7350000000000003</v>
      </c>
      <c r="G104" s="10"/>
      <c r="H104" s="11"/>
    </row>
    <row r="105" spans="1:8" x14ac:dyDescent="0.25">
      <c r="A105" s="19">
        <v>45730</v>
      </c>
      <c r="B105" s="8">
        <v>0.60416666666682095</v>
      </c>
      <c r="C105" s="12">
        <v>5820</v>
      </c>
      <c r="D105" s="12">
        <f t="shared" ref="D105:D123" si="4">+C105*60</f>
        <v>349200</v>
      </c>
      <c r="E105" s="18">
        <v>8.9969999999999999</v>
      </c>
      <c r="F105" s="13">
        <f t="shared" ref="F105:F123" si="5">+E105-$F$2</f>
        <v>1.1070000000000002</v>
      </c>
      <c r="G105" s="10"/>
      <c r="H105" s="11"/>
    </row>
    <row r="106" spans="1:8" x14ac:dyDescent="0.25">
      <c r="A106" s="19">
        <v>45730</v>
      </c>
      <c r="B106" s="8">
        <v>0.64583333333256199</v>
      </c>
      <c r="C106" s="12">
        <v>5880</v>
      </c>
      <c r="D106" s="12">
        <f t="shared" si="4"/>
        <v>352800</v>
      </c>
      <c r="E106" s="18">
        <v>8.83</v>
      </c>
      <c r="F106" s="13">
        <f t="shared" si="5"/>
        <v>0.94000000000000039</v>
      </c>
      <c r="G106" s="10"/>
      <c r="H106" s="11"/>
    </row>
    <row r="107" spans="1:8" x14ac:dyDescent="0.25">
      <c r="A107" s="19">
        <v>45730</v>
      </c>
      <c r="B107" s="8">
        <v>0.68750000000154299</v>
      </c>
      <c r="C107" s="12">
        <v>5940</v>
      </c>
      <c r="D107" s="12">
        <f t="shared" si="4"/>
        <v>356400</v>
      </c>
      <c r="E107" s="18">
        <v>8.73</v>
      </c>
      <c r="F107" s="13">
        <f t="shared" si="5"/>
        <v>0.84000000000000075</v>
      </c>
      <c r="G107" s="10"/>
      <c r="H107" s="11"/>
    </row>
    <row r="108" spans="1:8" x14ac:dyDescent="0.25">
      <c r="A108" s="19">
        <v>45730</v>
      </c>
      <c r="B108" s="8">
        <v>0.72916666667052299</v>
      </c>
      <c r="C108" s="12">
        <v>6000</v>
      </c>
      <c r="D108" s="12">
        <f t="shared" si="4"/>
        <v>360000</v>
      </c>
      <c r="E108" s="18">
        <v>8.6549999999999994</v>
      </c>
      <c r="F108" s="13">
        <f t="shared" si="5"/>
        <v>0.76499999999999968</v>
      </c>
      <c r="G108" s="10"/>
      <c r="H108" s="11"/>
    </row>
    <row r="109" spans="1:8" x14ac:dyDescent="0.25">
      <c r="A109" s="19">
        <v>45730</v>
      </c>
      <c r="B109" s="8">
        <v>0.77083333332947701</v>
      </c>
      <c r="C109" s="12">
        <v>6060</v>
      </c>
      <c r="D109" s="12">
        <f t="shared" si="4"/>
        <v>363600</v>
      </c>
      <c r="E109" s="18">
        <v>8.6</v>
      </c>
      <c r="F109" s="13">
        <f t="shared" si="5"/>
        <v>0.71</v>
      </c>
      <c r="G109" s="12"/>
      <c r="H109" s="12"/>
    </row>
    <row r="110" spans="1:8" x14ac:dyDescent="0.25">
      <c r="A110" s="19">
        <v>45730</v>
      </c>
      <c r="B110" s="8">
        <v>0.81249999998843103</v>
      </c>
      <c r="C110" s="12">
        <v>6120</v>
      </c>
      <c r="D110" s="12">
        <f t="shared" si="4"/>
        <v>367200</v>
      </c>
      <c r="E110" s="18">
        <v>8.5500000000000007</v>
      </c>
      <c r="F110" s="13">
        <f t="shared" si="5"/>
        <v>0.66000000000000103</v>
      </c>
      <c r="G110" s="12"/>
      <c r="H110" s="12"/>
    </row>
    <row r="111" spans="1:8" x14ac:dyDescent="0.25">
      <c r="A111" s="19">
        <v>45730</v>
      </c>
      <c r="B111" s="8">
        <v>0.85416666664738505</v>
      </c>
      <c r="C111" s="12">
        <v>6180</v>
      </c>
      <c r="D111" s="12">
        <f t="shared" si="4"/>
        <v>370800</v>
      </c>
      <c r="E111" s="18">
        <v>8.5</v>
      </c>
      <c r="F111" s="13">
        <f t="shared" si="5"/>
        <v>0.61000000000000032</v>
      </c>
      <c r="G111" s="12"/>
      <c r="H111" s="12"/>
    </row>
    <row r="112" spans="1:8" x14ac:dyDescent="0.25">
      <c r="A112" s="19">
        <v>45730</v>
      </c>
      <c r="B112" s="8">
        <v>0.89583333333333337</v>
      </c>
      <c r="C112" s="12">
        <v>6240</v>
      </c>
      <c r="D112" s="12">
        <f t="shared" si="4"/>
        <v>374400</v>
      </c>
      <c r="E112" s="18">
        <v>8.49</v>
      </c>
      <c r="F112" s="13">
        <f t="shared" si="5"/>
        <v>0.60000000000000053</v>
      </c>
      <c r="G112" s="12"/>
      <c r="H112" s="12"/>
    </row>
    <row r="113" spans="1:8" x14ac:dyDescent="0.25">
      <c r="A113" s="19">
        <v>45730</v>
      </c>
      <c r="B113" s="8">
        <v>0.93750000001928202</v>
      </c>
      <c r="C113" s="12">
        <v>6300</v>
      </c>
      <c r="D113" s="12">
        <f t="shared" si="4"/>
        <v>378000</v>
      </c>
      <c r="E113" s="18">
        <v>8.4700000000000006</v>
      </c>
      <c r="F113" s="13">
        <f t="shared" si="5"/>
        <v>0.58000000000000096</v>
      </c>
      <c r="G113" s="12"/>
      <c r="H113" s="12"/>
    </row>
    <row r="114" spans="1:8" x14ac:dyDescent="0.25">
      <c r="A114" s="19">
        <v>45730</v>
      </c>
      <c r="B114" s="8">
        <v>0.97916666670523</v>
      </c>
      <c r="C114" s="12">
        <v>6360</v>
      </c>
      <c r="D114" s="12">
        <f t="shared" si="4"/>
        <v>381600</v>
      </c>
      <c r="E114" s="18">
        <v>8.44</v>
      </c>
      <c r="F114" s="13">
        <f t="shared" si="5"/>
        <v>0.54999999999999982</v>
      </c>
      <c r="G114" s="12"/>
      <c r="H114" s="12"/>
    </row>
    <row r="115" spans="1:8" x14ac:dyDescent="0.25">
      <c r="A115" s="19">
        <v>45731</v>
      </c>
      <c r="B115" s="8">
        <v>1.0208333333911801</v>
      </c>
      <c r="C115" s="12">
        <v>6420</v>
      </c>
      <c r="D115" s="12">
        <f t="shared" si="4"/>
        <v>385200</v>
      </c>
      <c r="E115" s="18">
        <v>8.42</v>
      </c>
      <c r="F115" s="13">
        <f t="shared" si="5"/>
        <v>0.53000000000000025</v>
      </c>
      <c r="G115" s="12"/>
      <c r="H115" s="12"/>
    </row>
    <row r="116" spans="1:8" x14ac:dyDescent="0.25">
      <c r="A116" s="19">
        <v>45731</v>
      </c>
      <c r="B116" s="8">
        <v>1.0625000000771301</v>
      </c>
      <c r="C116" s="12">
        <v>6480</v>
      </c>
      <c r="D116" s="12">
        <f t="shared" si="4"/>
        <v>388800</v>
      </c>
      <c r="E116" s="18">
        <v>8.4</v>
      </c>
      <c r="F116" s="13">
        <f t="shared" si="5"/>
        <v>0.51000000000000068</v>
      </c>
      <c r="G116" s="12"/>
      <c r="H116" s="12"/>
    </row>
    <row r="117" spans="1:8" x14ac:dyDescent="0.25">
      <c r="A117" s="19">
        <v>45731</v>
      </c>
      <c r="B117" s="8">
        <v>1.1041666667630801</v>
      </c>
      <c r="C117" s="12">
        <v>6540</v>
      </c>
      <c r="D117" s="12">
        <f t="shared" si="4"/>
        <v>392400</v>
      </c>
      <c r="E117" s="18">
        <v>8.39</v>
      </c>
      <c r="F117" s="13">
        <f t="shared" si="5"/>
        <v>0.50000000000000089</v>
      </c>
      <c r="G117" s="12"/>
      <c r="H117" s="12"/>
    </row>
    <row r="118" spans="1:8" x14ac:dyDescent="0.25">
      <c r="A118" s="19">
        <v>45731</v>
      </c>
      <c r="B118" s="8">
        <v>1.1458333334490201</v>
      </c>
      <c r="C118" s="12">
        <v>6600</v>
      </c>
      <c r="D118" s="12">
        <f t="shared" si="4"/>
        <v>396000</v>
      </c>
      <c r="E118" s="18">
        <v>8.3699999999999992</v>
      </c>
      <c r="F118" s="13">
        <f t="shared" si="5"/>
        <v>0.47999999999999954</v>
      </c>
      <c r="G118" s="12"/>
      <c r="H118" s="12"/>
    </row>
    <row r="119" spans="1:8" x14ac:dyDescent="0.25">
      <c r="A119" s="19">
        <v>45731</v>
      </c>
      <c r="B119" s="8">
        <v>1.18750000013497</v>
      </c>
      <c r="C119" s="12">
        <v>6660</v>
      </c>
      <c r="D119" s="12">
        <f t="shared" si="4"/>
        <v>399600</v>
      </c>
      <c r="E119" s="18">
        <v>8.35</v>
      </c>
      <c r="F119" s="13">
        <f t="shared" si="5"/>
        <v>0.45999999999999996</v>
      </c>
      <c r="G119" s="12"/>
      <c r="H119" s="12"/>
    </row>
    <row r="120" spans="1:8" x14ac:dyDescent="0.25">
      <c r="A120" s="19">
        <v>45731</v>
      </c>
      <c r="B120" s="8">
        <v>1.22916666682092</v>
      </c>
      <c r="C120" s="12">
        <v>6720</v>
      </c>
      <c r="D120" s="12">
        <f t="shared" si="4"/>
        <v>403200</v>
      </c>
      <c r="E120" s="18">
        <v>8.32</v>
      </c>
      <c r="F120" s="13">
        <f t="shared" si="5"/>
        <v>0.4300000000000006</v>
      </c>
      <c r="G120" s="12"/>
      <c r="H120" s="12"/>
    </row>
    <row r="121" spans="1:8" x14ac:dyDescent="0.25">
      <c r="A121" s="19">
        <v>45731</v>
      </c>
      <c r="B121" s="8">
        <v>1.27083333350687</v>
      </c>
      <c r="C121" s="12">
        <v>6780</v>
      </c>
      <c r="D121" s="12">
        <f t="shared" si="4"/>
        <v>406800</v>
      </c>
      <c r="E121" s="18">
        <v>8.3000000000000007</v>
      </c>
      <c r="F121" s="13">
        <f t="shared" si="5"/>
        <v>0.41000000000000103</v>
      </c>
      <c r="G121" s="12"/>
      <c r="H121" s="12"/>
    </row>
    <row r="122" spans="1:8" x14ac:dyDescent="0.25">
      <c r="A122" s="19">
        <v>45731</v>
      </c>
      <c r="B122" s="8">
        <v>1.31250000019282</v>
      </c>
      <c r="C122" s="12">
        <v>6840</v>
      </c>
      <c r="D122" s="12">
        <f t="shared" si="4"/>
        <v>410400</v>
      </c>
      <c r="E122" s="18">
        <v>8.2899999999999991</v>
      </c>
      <c r="F122" s="13">
        <f t="shared" si="5"/>
        <v>0.39999999999999947</v>
      </c>
      <c r="G122" s="12"/>
      <c r="H122" s="12"/>
    </row>
    <row r="123" spans="1:8" x14ac:dyDescent="0.25">
      <c r="A123" s="19">
        <v>45731</v>
      </c>
      <c r="B123" s="8">
        <v>1.35416666687877</v>
      </c>
      <c r="C123" s="12">
        <v>6900</v>
      </c>
      <c r="D123" s="12">
        <f t="shared" si="4"/>
        <v>414000</v>
      </c>
      <c r="E123" s="18">
        <v>8.2750000000000004</v>
      </c>
      <c r="F123" s="13">
        <f t="shared" si="5"/>
        <v>0.38500000000000068</v>
      </c>
      <c r="G123" s="12"/>
      <c r="H123" s="12"/>
    </row>
  </sheetData>
  <mergeCells count="2">
    <mergeCell ref="A6:H6"/>
    <mergeCell ref="B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OW Pozo Investigación Manual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felipe saenz landinez</dc:creator>
  <cp:lastModifiedBy>OMD</cp:lastModifiedBy>
  <dcterms:created xsi:type="dcterms:W3CDTF">2024-12-15T19:20:12Z</dcterms:created>
  <dcterms:modified xsi:type="dcterms:W3CDTF">2025-05-13T17:16:12Z</dcterms:modified>
</cp:coreProperties>
</file>